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e\Downloads\Projetos\Analise rentabilidade motorista\"/>
    </mc:Choice>
  </mc:AlternateContent>
  <xr:revisionPtr revIDLastSave="0" documentId="13_ncr:1_{40A8D399-3657-45B7-9099-B732531907E3}" xr6:coauthVersionLast="47" xr6:coauthVersionMax="47" xr10:uidLastSave="{00000000-0000-0000-0000-000000000000}"/>
  <bookViews>
    <workbookView xWindow="-105" yWindow="0" windowWidth="25890" windowHeight="20985" xr2:uid="{00000000-000D-0000-FFFF-FFFF00000000}"/>
  </bookViews>
  <sheets>
    <sheet name="Dashbord" sheetId="1" r:id="rId1"/>
    <sheet name="Tabela Dinamica" sheetId="9" r:id="rId2"/>
    <sheet name="Registro" sheetId="4" r:id="rId3"/>
    <sheet name="Metricas" sheetId="5" r:id="rId4"/>
  </sheets>
  <definedNames>
    <definedName name="_xlcn.WorksheetConnection_Analise_Rentabilidade_Motorista_Dashboard_Pro.xlsxTabela1" hidden="1">Tabela1[]</definedName>
    <definedName name="_xlcn.WorksheetConnection_AnálisedeRentabilidadedeMotoristadeAplicativo.xlsxTabela11" hidden="1">Tabela1[]</definedName>
    <definedName name="SegmentaçãoDeDados_Aplicativo">#N/A</definedName>
    <definedName name="SegmentaçãoDeDados_Aplicativo1">#N/A</definedName>
    <definedName name="SegmentaçãoDeDados_Data">#N/A</definedName>
    <definedName name="SegmentaçãoDeDados_Data1">#N/A</definedName>
    <definedName name="SegmentaçãoDeDados_Mês">#N/A</definedName>
    <definedName name="SegmentaçãoDeDados_Mês1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abela1" name="Tabela1" connection="WorksheetConnection_Analise_Rentabilidade_Motorista_Dashboard_Pro.xlsx!Tabela1"/>
        </x15:modelTables>
        <x15:extLst>
          <ext xmlns:x16="http://schemas.microsoft.com/office/spreadsheetml/2014/11/main" uri="{9835A34E-60A6-4A7C-AAB8-D5F71C897F49}">
            <x16:modelTimeGroupings>
              <x16:modelTimeGrouping tableName="Tabela1" columnName="Data" columnId="Data">
                <x16:calculatedTimeColumn columnName="Data (Índice do Mês)" columnId="Data (Índice do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7" i="4" l="1"/>
  <c r="V67" i="4"/>
  <c r="W67" i="4"/>
  <c r="X67" i="4"/>
  <c r="U68" i="4"/>
  <c r="V68" i="4"/>
  <c r="W68" i="4"/>
  <c r="X68" i="4"/>
  <c r="U69" i="4"/>
  <c r="V69" i="4"/>
  <c r="W69" i="4"/>
  <c r="X69" i="4"/>
  <c r="U70" i="4"/>
  <c r="V70" i="4"/>
  <c r="W70" i="4"/>
  <c r="X70" i="4"/>
  <c r="S67" i="4"/>
  <c r="S68" i="4"/>
  <c r="S69" i="4"/>
  <c r="S70" i="4"/>
  <c r="M67" i="4"/>
  <c r="M68" i="4"/>
  <c r="M69" i="4"/>
  <c r="M70" i="4"/>
  <c r="B70" i="4"/>
  <c r="C70" i="4"/>
  <c r="D70" i="4"/>
  <c r="E70" i="4"/>
  <c r="F70" i="4"/>
  <c r="G70" i="4"/>
  <c r="B67" i="4"/>
  <c r="C67" i="4"/>
  <c r="D67" i="4"/>
  <c r="E67" i="4"/>
  <c r="F67" i="4"/>
  <c r="G67" i="4"/>
  <c r="B68" i="4"/>
  <c r="C68" i="4"/>
  <c r="D68" i="4"/>
  <c r="E68" i="4"/>
  <c r="F68" i="4"/>
  <c r="G68" i="4"/>
  <c r="B69" i="4"/>
  <c r="C69" i="4"/>
  <c r="D69" i="4"/>
  <c r="E69" i="4"/>
  <c r="F69" i="4"/>
  <c r="G69" i="4"/>
  <c r="M65" i="4"/>
  <c r="M66" i="4"/>
  <c r="S65" i="4"/>
  <c r="S66" i="4"/>
  <c r="U65" i="4"/>
  <c r="V65" i="4"/>
  <c r="W65" i="4"/>
  <c r="X65" i="4"/>
  <c r="U66" i="4"/>
  <c r="V66" i="4"/>
  <c r="W66" i="4"/>
  <c r="X66" i="4"/>
  <c r="B65" i="4"/>
  <c r="C65" i="4"/>
  <c r="D65" i="4"/>
  <c r="E65" i="4"/>
  <c r="F65" i="4"/>
  <c r="G65" i="4"/>
  <c r="B66" i="4"/>
  <c r="C66" i="4"/>
  <c r="D66" i="4"/>
  <c r="E66" i="4"/>
  <c r="F66" i="4"/>
  <c r="G66" i="4"/>
  <c r="U61" i="4"/>
  <c r="V61" i="4"/>
  <c r="W61" i="4"/>
  <c r="X61" i="4"/>
  <c r="U62" i="4"/>
  <c r="V62" i="4"/>
  <c r="W62" i="4"/>
  <c r="X62" i="4"/>
  <c r="U63" i="4"/>
  <c r="V63" i="4"/>
  <c r="W63" i="4"/>
  <c r="X63" i="4"/>
  <c r="U64" i="4"/>
  <c r="V64" i="4"/>
  <c r="W64" i="4"/>
  <c r="X64" i="4"/>
  <c r="S61" i="4"/>
  <c r="S62" i="4"/>
  <c r="S63" i="4"/>
  <c r="S64" i="4"/>
  <c r="M61" i="4"/>
  <c r="M62" i="4"/>
  <c r="M63" i="4"/>
  <c r="M64" i="4"/>
  <c r="D61" i="4"/>
  <c r="E61" i="4"/>
  <c r="F61" i="4"/>
  <c r="G61" i="4"/>
  <c r="D62" i="4"/>
  <c r="E62" i="4"/>
  <c r="F62" i="4"/>
  <c r="G62" i="4"/>
  <c r="D63" i="4"/>
  <c r="E63" i="4"/>
  <c r="F63" i="4"/>
  <c r="G63" i="4"/>
  <c r="D64" i="4"/>
  <c r="E64" i="4"/>
  <c r="F64" i="4"/>
  <c r="G64" i="4"/>
  <c r="C61" i="4"/>
  <c r="C62" i="4"/>
  <c r="C63" i="4"/>
  <c r="C64" i="4"/>
  <c r="B61" i="4"/>
  <c r="B62" i="4"/>
  <c r="B63" i="4"/>
  <c r="B64" i="4"/>
  <c r="U57" i="4"/>
  <c r="U58" i="4"/>
  <c r="U59" i="4"/>
  <c r="U60" i="4"/>
  <c r="M59" i="4"/>
  <c r="M60" i="4"/>
  <c r="S59" i="4"/>
  <c r="S60" i="4"/>
  <c r="V57" i="4"/>
  <c r="V58" i="4"/>
  <c r="V59" i="4"/>
  <c r="V60" i="4"/>
  <c r="W59" i="4"/>
  <c r="W60" i="4"/>
  <c r="X59" i="4"/>
  <c r="X60" i="4"/>
  <c r="G59" i="4"/>
  <c r="G60" i="4"/>
  <c r="F59" i="4"/>
  <c r="F60" i="4"/>
  <c r="E59" i="4"/>
  <c r="E60" i="4"/>
  <c r="D59" i="4"/>
  <c r="D60" i="4"/>
  <c r="C60" i="4"/>
  <c r="C59" i="4"/>
  <c r="B59" i="4"/>
  <c r="B60" i="4"/>
  <c r="G47" i="4"/>
  <c r="F47" i="4"/>
  <c r="E47" i="4"/>
  <c r="D47" i="4"/>
  <c r="C47" i="4"/>
  <c r="B47" i="4"/>
  <c r="H46" i="5"/>
  <c r="H45" i="5"/>
  <c r="E45" i="5"/>
  <c r="H44" i="5"/>
  <c r="G44" i="5"/>
  <c r="F44" i="5"/>
  <c r="E44" i="5"/>
  <c r="H43" i="5"/>
  <c r="G43" i="5"/>
  <c r="F43" i="5"/>
  <c r="E43" i="5"/>
  <c r="B30" i="5"/>
  <c r="H30" i="5" s="1"/>
  <c r="B29" i="5"/>
  <c r="D29" i="5" s="1"/>
  <c r="B28" i="5"/>
  <c r="H28" i="5" s="1"/>
  <c r="B27" i="5"/>
  <c r="C27" i="5" s="1"/>
  <c r="B26" i="5"/>
  <c r="G26" i="5" s="1"/>
  <c r="B25" i="5"/>
  <c r="E25" i="5" s="1"/>
  <c r="B24" i="5"/>
  <c r="G24" i="5" s="1"/>
  <c r="B23" i="5"/>
  <c r="H23" i="5" s="1"/>
  <c r="B22" i="5"/>
  <c r="H22" i="5" s="1"/>
  <c r="B21" i="5"/>
  <c r="H21" i="5" s="1"/>
  <c r="B20" i="5"/>
  <c r="G20" i="5" s="1"/>
  <c r="B19" i="5"/>
  <c r="H19" i="5" s="1"/>
  <c r="B18" i="5"/>
  <c r="F18" i="5" s="1"/>
  <c r="B17" i="5"/>
  <c r="H17" i="5" s="1"/>
  <c r="B16" i="5"/>
  <c r="C16" i="5" s="1"/>
  <c r="B15" i="5"/>
  <c r="G15" i="5" s="1"/>
  <c r="B14" i="5"/>
  <c r="G14" i="5" s="1"/>
  <c r="B13" i="5"/>
  <c r="D13" i="5" s="1"/>
  <c r="B12" i="5"/>
  <c r="H12" i="5" s="1"/>
  <c r="B11" i="5"/>
  <c r="H11" i="5" s="1"/>
  <c r="B10" i="5"/>
  <c r="E10" i="5" s="1"/>
  <c r="B9" i="5"/>
  <c r="E9" i="5" s="1"/>
  <c r="B8" i="5"/>
  <c r="G8" i="5" s="1"/>
  <c r="B7" i="5"/>
  <c r="H7" i="5" s="1"/>
  <c r="B6" i="5"/>
  <c r="H6" i="5" s="1"/>
  <c r="O5" i="5"/>
  <c r="N5" i="5"/>
  <c r="M5" i="5"/>
  <c r="L5" i="5"/>
  <c r="K5" i="5"/>
  <c r="J5" i="5"/>
  <c r="I5" i="5"/>
  <c r="B5" i="5"/>
  <c r="G5" i="5" s="1"/>
  <c r="X58" i="4"/>
  <c r="W58" i="4"/>
  <c r="S58" i="4"/>
  <c r="M58" i="4"/>
  <c r="G58" i="4"/>
  <c r="F58" i="4"/>
  <c r="E58" i="4"/>
  <c r="D58" i="4"/>
  <c r="C58" i="4"/>
  <c r="B58" i="4"/>
  <c r="X57" i="4"/>
  <c r="W57" i="4"/>
  <c r="S57" i="4"/>
  <c r="M57" i="4"/>
  <c r="G57" i="4"/>
  <c r="F57" i="4"/>
  <c r="E57" i="4"/>
  <c r="D57" i="4"/>
  <c r="C57" i="4"/>
  <c r="B57" i="4"/>
  <c r="X56" i="4"/>
  <c r="W56" i="4"/>
  <c r="V56" i="4"/>
  <c r="U56" i="4"/>
  <c r="S56" i="4"/>
  <c r="M56" i="4"/>
  <c r="G56" i="4"/>
  <c r="F56" i="4"/>
  <c r="E56" i="4"/>
  <c r="D56" i="4"/>
  <c r="C56" i="4"/>
  <c r="B56" i="4"/>
  <c r="X55" i="4"/>
  <c r="W55" i="4"/>
  <c r="V55" i="4"/>
  <c r="U55" i="4"/>
  <c r="S55" i="4"/>
  <c r="M55" i="4"/>
  <c r="G55" i="4"/>
  <c r="F55" i="4"/>
  <c r="E55" i="4"/>
  <c r="D55" i="4"/>
  <c r="C55" i="4"/>
  <c r="B55" i="4"/>
  <c r="X54" i="4"/>
  <c r="W54" i="4"/>
  <c r="V54" i="4"/>
  <c r="U54" i="4"/>
  <c r="S54" i="4"/>
  <c r="M54" i="4"/>
  <c r="G54" i="4"/>
  <c r="F54" i="4"/>
  <c r="E54" i="4"/>
  <c r="D54" i="4"/>
  <c r="C54" i="4"/>
  <c r="B54" i="4"/>
  <c r="X53" i="4"/>
  <c r="W53" i="4"/>
  <c r="V53" i="4"/>
  <c r="U53" i="4"/>
  <c r="S53" i="4"/>
  <c r="M53" i="4"/>
  <c r="G53" i="4"/>
  <c r="F53" i="4"/>
  <c r="E53" i="4"/>
  <c r="D53" i="4"/>
  <c r="C53" i="4"/>
  <c r="B53" i="4"/>
  <c r="X52" i="4"/>
  <c r="W52" i="4"/>
  <c r="V52" i="4"/>
  <c r="U52" i="4"/>
  <c r="S52" i="4"/>
  <c r="M52" i="4"/>
  <c r="G52" i="4"/>
  <c r="F52" i="4"/>
  <c r="E52" i="4"/>
  <c r="D52" i="4"/>
  <c r="C52" i="4"/>
  <c r="B52" i="4"/>
  <c r="X51" i="4"/>
  <c r="W51" i="4"/>
  <c r="V51" i="4"/>
  <c r="U51" i="4"/>
  <c r="S51" i="4"/>
  <c r="M51" i="4"/>
  <c r="G51" i="4"/>
  <c r="F51" i="4"/>
  <c r="E51" i="4"/>
  <c r="D51" i="4"/>
  <c r="C51" i="4"/>
  <c r="B51" i="4"/>
  <c r="X50" i="4"/>
  <c r="W50" i="4"/>
  <c r="V50" i="4"/>
  <c r="U50" i="4"/>
  <c r="S50" i="4"/>
  <c r="M50" i="4"/>
  <c r="G50" i="4"/>
  <c r="F50" i="4"/>
  <c r="E50" i="4"/>
  <c r="D50" i="4"/>
  <c r="C50" i="4"/>
  <c r="B50" i="4"/>
  <c r="X49" i="4"/>
  <c r="W49" i="4"/>
  <c r="V49" i="4"/>
  <c r="U49" i="4"/>
  <c r="S49" i="4"/>
  <c r="M49" i="4"/>
  <c r="G49" i="4"/>
  <c r="F49" i="4"/>
  <c r="E49" i="4"/>
  <c r="D49" i="4"/>
  <c r="C49" i="4"/>
  <c r="B49" i="4"/>
  <c r="X48" i="4"/>
  <c r="W48" i="4"/>
  <c r="V48" i="4"/>
  <c r="U48" i="4"/>
  <c r="S48" i="4"/>
  <c r="M48" i="4"/>
  <c r="G48" i="4"/>
  <c r="F48" i="4"/>
  <c r="E48" i="4"/>
  <c r="D48" i="4"/>
  <c r="C48" i="4"/>
  <c r="B48" i="4"/>
  <c r="X47" i="4"/>
  <c r="W47" i="4"/>
  <c r="V47" i="4"/>
  <c r="U47" i="4"/>
  <c r="S47" i="4"/>
  <c r="M47" i="4"/>
  <c r="X46" i="4"/>
  <c r="W46" i="4"/>
  <c r="V46" i="4"/>
  <c r="U46" i="4"/>
  <c r="S46" i="4"/>
  <c r="M46" i="4"/>
  <c r="G46" i="4"/>
  <c r="F46" i="4"/>
  <c r="E46" i="4"/>
  <c r="D46" i="4"/>
  <c r="C46" i="4"/>
  <c r="B46" i="4"/>
  <c r="X45" i="4"/>
  <c r="W45" i="4"/>
  <c r="V45" i="4"/>
  <c r="U45" i="4"/>
  <c r="S45" i="4"/>
  <c r="M45" i="4"/>
  <c r="G45" i="4"/>
  <c r="F45" i="4"/>
  <c r="E45" i="4"/>
  <c r="D45" i="4"/>
  <c r="C45" i="4"/>
  <c r="B45" i="4"/>
  <c r="X44" i="4"/>
  <c r="W44" i="4"/>
  <c r="V44" i="4"/>
  <c r="U44" i="4"/>
  <c r="S44" i="4"/>
  <c r="M44" i="4"/>
  <c r="G44" i="4"/>
  <c r="F44" i="4"/>
  <c r="E44" i="4"/>
  <c r="D44" i="4"/>
  <c r="C44" i="4"/>
  <c r="B44" i="4"/>
  <c r="X43" i="4"/>
  <c r="W43" i="4"/>
  <c r="V43" i="4"/>
  <c r="U43" i="4"/>
  <c r="S43" i="4"/>
  <c r="M43" i="4"/>
  <c r="G43" i="4"/>
  <c r="F43" i="4"/>
  <c r="E43" i="4"/>
  <c r="D43" i="4"/>
  <c r="C43" i="4"/>
  <c r="B43" i="4"/>
  <c r="X42" i="4"/>
  <c r="W42" i="4"/>
  <c r="V42" i="4"/>
  <c r="U42" i="4"/>
  <c r="S42" i="4"/>
  <c r="M42" i="4"/>
  <c r="G42" i="4"/>
  <c r="F42" i="4"/>
  <c r="E42" i="4"/>
  <c r="D42" i="4"/>
  <c r="C42" i="4"/>
  <c r="B42" i="4"/>
  <c r="X41" i="4"/>
  <c r="W41" i="4"/>
  <c r="V41" i="4"/>
  <c r="U41" i="4"/>
  <c r="S41" i="4"/>
  <c r="M41" i="4"/>
  <c r="G41" i="4"/>
  <c r="F41" i="4"/>
  <c r="E41" i="4"/>
  <c r="D41" i="4"/>
  <c r="C41" i="4"/>
  <c r="B41" i="4"/>
  <c r="X40" i="4"/>
  <c r="W40" i="4"/>
  <c r="V40" i="4"/>
  <c r="U40" i="4"/>
  <c r="S40" i="4"/>
  <c r="M40" i="4"/>
  <c r="G40" i="4"/>
  <c r="F40" i="4"/>
  <c r="E40" i="4"/>
  <c r="D40" i="4"/>
  <c r="C40" i="4"/>
  <c r="B40" i="4"/>
  <c r="X39" i="4"/>
  <c r="W39" i="4"/>
  <c r="V39" i="4"/>
  <c r="U39" i="4"/>
  <c r="S39" i="4"/>
  <c r="M39" i="4"/>
  <c r="G39" i="4"/>
  <c r="F39" i="4"/>
  <c r="E39" i="4"/>
  <c r="D39" i="4"/>
  <c r="C39" i="4"/>
  <c r="B39" i="4"/>
  <c r="X38" i="4"/>
  <c r="W38" i="4"/>
  <c r="V38" i="4"/>
  <c r="U38" i="4"/>
  <c r="S38" i="4"/>
  <c r="M38" i="4"/>
  <c r="G38" i="4"/>
  <c r="F38" i="4"/>
  <c r="E38" i="4"/>
  <c r="D38" i="4"/>
  <c r="C38" i="4"/>
  <c r="B38" i="4"/>
  <c r="X37" i="4"/>
  <c r="W37" i="4"/>
  <c r="V37" i="4"/>
  <c r="U37" i="4"/>
  <c r="S37" i="4"/>
  <c r="M37" i="4"/>
  <c r="G37" i="4"/>
  <c r="F37" i="4"/>
  <c r="E37" i="4"/>
  <c r="D37" i="4"/>
  <c r="C37" i="4"/>
  <c r="B37" i="4"/>
  <c r="X36" i="4"/>
  <c r="W36" i="4"/>
  <c r="V36" i="4"/>
  <c r="U36" i="4"/>
  <c r="S36" i="4"/>
  <c r="M36" i="4"/>
  <c r="G36" i="4"/>
  <c r="F36" i="4"/>
  <c r="E36" i="4"/>
  <c r="D36" i="4"/>
  <c r="C36" i="4"/>
  <c r="B36" i="4"/>
  <c r="X35" i="4"/>
  <c r="W35" i="4"/>
  <c r="V35" i="4"/>
  <c r="U35" i="4"/>
  <c r="S35" i="4"/>
  <c r="M35" i="4"/>
  <c r="G35" i="4"/>
  <c r="F35" i="4"/>
  <c r="E35" i="4"/>
  <c r="D35" i="4"/>
  <c r="C35" i="4"/>
  <c r="B35" i="4"/>
  <c r="X34" i="4"/>
  <c r="W34" i="4"/>
  <c r="V34" i="4"/>
  <c r="U34" i="4"/>
  <c r="S34" i="4"/>
  <c r="M34" i="4"/>
  <c r="G34" i="4"/>
  <c r="F34" i="4"/>
  <c r="E34" i="4"/>
  <c r="D34" i="4"/>
  <c r="C34" i="4"/>
  <c r="B34" i="4"/>
  <c r="X33" i="4"/>
  <c r="W33" i="4"/>
  <c r="V33" i="4"/>
  <c r="U33" i="4"/>
  <c r="S33" i="4"/>
  <c r="M33" i="4"/>
  <c r="G33" i="4"/>
  <c r="F33" i="4"/>
  <c r="E33" i="4"/>
  <c r="D33" i="4"/>
  <c r="C33" i="4"/>
  <c r="B33" i="4"/>
  <c r="X32" i="4"/>
  <c r="W32" i="4"/>
  <c r="V32" i="4"/>
  <c r="U32" i="4"/>
  <c r="S32" i="4"/>
  <c r="M32" i="4"/>
  <c r="G32" i="4"/>
  <c r="F32" i="4"/>
  <c r="E32" i="4"/>
  <c r="D32" i="4"/>
  <c r="C32" i="4"/>
  <c r="B32" i="4"/>
  <c r="X31" i="4"/>
  <c r="W31" i="4"/>
  <c r="V31" i="4"/>
  <c r="U31" i="4"/>
  <c r="S31" i="4"/>
  <c r="M31" i="4"/>
  <c r="G31" i="4"/>
  <c r="F31" i="4"/>
  <c r="E31" i="4"/>
  <c r="D31" i="4"/>
  <c r="C31" i="4"/>
  <c r="B31" i="4"/>
  <c r="X30" i="4"/>
  <c r="W30" i="4"/>
  <c r="V30" i="4"/>
  <c r="U30" i="4"/>
  <c r="S30" i="4"/>
  <c r="M30" i="4"/>
  <c r="G30" i="4"/>
  <c r="F30" i="4"/>
  <c r="E30" i="4"/>
  <c r="D30" i="4"/>
  <c r="C30" i="4"/>
  <c r="B30" i="4"/>
  <c r="X29" i="4"/>
  <c r="W29" i="4"/>
  <c r="V29" i="4"/>
  <c r="U29" i="4"/>
  <c r="S29" i="4"/>
  <c r="M29" i="4"/>
  <c r="G29" i="4"/>
  <c r="F29" i="4"/>
  <c r="E29" i="4"/>
  <c r="D29" i="4"/>
  <c r="C29" i="4"/>
  <c r="B29" i="4"/>
  <c r="X28" i="4"/>
  <c r="W28" i="4"/>
  <c r="V28" i="4"/>
  <c r="U28" i="4"/>
  <c r="S28" i="4"/>
  <c r="M28" i="4"/>
  <c r="G28" i="4"/>
  <c r="F28" i="4"/>
  <c r="E28" i="4"/>
  <c r="D28" i="4"/>
  <c r="C28" i="4"/>
  <c r="B28" i="4"/>
  <c r="X27" i="4"/>
  <c r="W27" i="4"/>
  <c r="V27" i="4"/>
  <c r="U27" i="4"/>
  <c r="S27" i="4"/>
  <c r="M27" i="4"/>
  <c r="G27" i="4"/>
  <c r="F27" i="4"/>
  <c r="E27" i="4"/>
  <c r="D27" i="4"/>
  <c r="C27" i="4"/>
  <c r="B27" i="4"/>
  <c r="X26" i="4"/>
  <c r="W26" i="4"/>
  <c r="V26" i="4"/>
  <c r="U26" i="4"/>
  <c r="S26" i="4"/>
  <c r="M26" i="4"/>
  <c r="G26" i="4"/>
  <c r="F26" i="4"/>
  <c r="E26" i="4"/>
  <c r="D26" i="4"/>
  <c r="C26" i="4"/>
  <c r="B26" i="4"/>
  <c r="X25" i="4"/>
  <c r="W25" i="4"/>
  <c r="V25" i="4"/>
  <c r="U25" i="4"/>
  <c r="S25" i="4"/>
  <c r="M25" i="4"/>
  <c r="G25" i="4"/>
  <c r="F25" i="4"/>
  <c r="E25" i="4"/>
  <c r="D25" i="4"/>
  <c r="C25" i="4"/>
  <c r="B25" i="4"/>
  <c r="X24" i="4"/>
  <c r="W24" i="4"/>
  <c r="V24" i="4"/>
  <c r="U24" i="4"/>
  <c r="S24" i="4"/>
  <c r="M24" i="4"/>
  <c r="G24" i="4"/>
  <c r="F24" i="4"/>
  <c r="E24" i="4"/>
  <c r="D24" i="4"/>
  <c r="C24" i="4"/>
  <c r="B24" i="4"/>
  <c r="X23" i="4"/>
  <c r="W23" i="4"/>
  <c r="V23" i="4"/>
  <c r="U23" i="4"/>
  <c r="S23" i="4"/>
  <c r="M23" i="4"/>
  <c r="G23" i="4"/>
  <c r="F23" i="4"/>
  <c r="E23" i="4"/>
  <c r="D23" i="4"/>
  <c r="C23" i="4"/>
  <c r="B23" i="4"/>
  <c r="X22" i="4"/>
  <c r="W22" i="4"/>
  <c r="V22" i="4"/>
  <c r="U22" i="4"/>
  <c r="S22" i="4"/>
  <c r="M22" i="4"/>
  <c r="G22" i="4"/>
  <c r="F22" i="4"/>
  <c r="E22" i="4"/>
  <c r="D22" i="4"/>
  <c r="C22" i="4"/>
  <c r="B22" i="4"/>
  <c r="X21" i="4"/>
  <c r="W21" i="4"/>
  <c r="V21" i="4"/>
  <c r="U21" i="4"/>
  <c r="S21" i="4"/>
  <c r="M21" i="4"/>
  <c r="G21" i="4"/>
  <c r="F21" i="4"/>
  <c r="E21" i="4"/>
  <c r="D21" i="4"/>
  <c r="C21" i="4"/>
  <c r="B21" i="4"/>
  <c r="X20" i="4"/>
  <c r="W20" i="4"/>
  <c r="V20" i="4"/>
  <c r="U20" i="4"/>
  <c r="S20" i="4"/>
  <c r="M20" i="4"/>
  <c r="G20" i="4"/>
  <c r="F20" i="4"/>
  <c r="E20" i="4"/>
  <c r="D20" i="4"/>
  <c r="C20" i="4"/>
  <c r="B20" i="4"/>
  <c r="X19" i="4"/>
  <c r="W19" i="4"/>
  <c r="V19" i="4"/>
  <c r="U19" i="4"/>
  <c r="S19" i="4"/>
  <c r="M19" i="4"/>
  <c r="G19" i="4"/>
  <c r="F19" i="4"/>
  <c r="E19" i="4"/>
  <c r="D19" i="4"/>
  <c r="C19" i="4"/>
  <c r="B19" i="4"/>
  <c r="X18" i="4"/>
  <c r="W18" i="4"/>
  <c r="V18" i="4"/>
  <c r="U18" i="4"/>
  <c r="S18" i="4"/>
  <c r="M18" i="4"/>
  <c r="G18" i="4"/>
  <c r="F18" i="4"/>
  <c r="E18" i="4"/>
  <c r="D18" i="4"/>
  <c r="C18" i="4"/>
  <c r="B18" i="4"/>
  <c r="X17" i="4"/>
  <c r="W17" i="4"/>
  <c r="V17" i="4"/>
  <c r="U17" i="4"/>
  <c r="S17" i="4"/>
  <c r="M17" i="4"/>
  <c r="G17" i="4"/>
  <c r="F17" i="4"/>
  <c r="E17" i="4"/>
  <c r="D17" i="4"/>
  <c r="C17" i="4"/>
  <c r="B17" i="4"/>
  <c r="X16" i="4"/>
  <c r="W16" i="4"/>
  <c r="V16" i="4"/>
  <c r="U16" i="4"/>
  <c r="S16" i="4"/>
  <c r="M16" i="4"/>
  <c r="G16" i="4"/>
  <c r="F16" i="4"/>
  <c r="E16" i="4"/>
  <c r="D16" i="4"/>
  <c r="C16" i="4"/>
  <c r="B16" i="4"/>
  <c r="X15" i="4"/>
  <c r="W15" i="4"/>
  <c r="V15" i="4"/>
  <c r="U15" i="4"/>
  <c r="S15" i="4"/>
  <c r="M15" i="4"/>
  <c r="G15" i="4"/>
  <c r="F15" i="4"/>
  <c r="E15" i="4"/>
  <c r="D15" i="4"/>
  <c r="C15" i="4"/>
  <c r="B15" i="4"/>
  <c r="X14" i="4"/>
  <c r="W14" i="4"/>
  <c r="V14" i="4"/>
  <c r="U14" i="4"/>
  <c r="S14" i="4"/>
  <c r="M14" i="4"/>
  <c r="G14" i="4"/>
  <c r="F14" i="4"/>
  <c r="E14" i="4"/>
  <c r="D14" i="4"/>
  <c r="C14" i="4"/>
  <c r="B14" i="4"/>
  <c r="X13" i="4"/>
  <c r="W13" i="4"/>
  <c r="V13" i="4"/>
  <c r="U13" i="4"/>
  <c r="S13" i="4"/>
  <c r="M13" i="4"/>
  <c r="G13" i="4"/>
  <c r="F13" i="4"/>
  <c r="E13" i="4"/>
  <c r="D13" i="4"/>
  <c r="C13" i="4"/>
  <c r="B13" i="4"/>
  <c r="X12" i="4"/>
  <c r="W12" i="4"/>
  <c r="V12" i="4"/>
  <c r="U12" i="4"/>
  <c r="S12" i="4"/>
  <c r="M12" i="4"/>
  <c r="G12" i="4"/>
  <c r="F12" i="4"/>
  <c r="E12" i="4"/>
  <c r="D12" i="4"/>
  <c r="C12" i="4"/>
  <c r="B12" i="4"/>
  <c r="X11" i="4"/>
  <c r="W11" i="4"/>
  <c r="V11" i="4"/>
  <c r="U11" i="4"/>
  <c r="S11" i="4"/>
  <c r="M11" i="4"/>
  <c r="G11" i="4"/>
  <c r="F11" i="4"/>
  <c r="E11" i="4"/>
  <c r="D11" i="4"/>
  <c r="C11" i="4"/>
  <c r="B11" i="4"/>
  <c r="X10" i="4"/>
  <c r="W10" i="4"/>
  <c r="V10" i="4"/>
  <c r="U10" i="4"/>
  <c r="S10" i="4"/>
  <c r="M10" i="4"/>
  <c r="G10" i="4"/>
  <c r="F10" i="4"/>
  <c r="E10" i="4"/>
  <c r="D10" i="4"/>
  <c r="C10" i="4"/>
  <c r="B10" i="4"/>
  <c r="X9" i="4"/>
  <c r="W9" i="4"/>
  <c r="V9" i="4"/>
  <c r="U9" i="4"/>
  <c r="S9" i="4"/>
  <c r="M9" i="4"/>
  <c r="G9" i="4"/>
  <c r="F9" i="4"/>
  <c r="E9" i="4"/>
  <c r="D9" i="4"/>
  <c r="C9" i="4"/>
  <c r="B9" i="4"/>
  <c r="X8" i="4"/>
  <c r="W8" i="4"/>
  <c r="V8" i="4"/>
  <c r="U8" i="4"/>
  <c r="S8" i="4"/>
  <c r="M8" i="4"/>
  <c r="G8" i="4"/>
  <c r="F8" i="4"/>
  <c r="E8" i="4"/>
  <c r="D8" i="4"/>
  <c r="C8" i="4"/>
  <c r="B8" i="4"/>
  <c r="X7" i="4"/>
  <c r="W7" i="4"/>
  <c r="V7" i="4"/>
  <c r="U7" i="4"/>
  <c r="S7" i="4"/>
  <c r="M7" i="4"/>
  <c r="G7" i="4"/>
  <c r="F7" i="4"/>
  <c r="E7" i="4"/>
  <c r="D7" i="4"/>
  <c r="C7" i="4"/>
  <c r="B7" i="4"/>
  <c r="X6" i="4"/>
  <c r="W6" i="4"/>
  <c r="V6" i="4"/>
  <c r="U6" i="4"/>
  <c r="S6" i="4"/>
  <c r="M6" i="4"/>
  <c r="G6" i="4"/>
  <c r="F6" i="4"/>
  <c r="E6" i="4"/>
  <c r="D6" i="4"/>
  <c r="C6" i="4"/>
  <c r="B6" i="4"/>
  <c r="X5" i="4"/>
  <c r="W5" i="4"/>
  <c r="V5" i="4"/>
  <c r="U5" i="4"/>
  <c r="S5" i="4"/>
  <c r="M5" i="4"/>
  <c r="G5" i="4"/>
  <c r="F5" i="4"/>
  <c r="E5" i="4"/>
  <c r="D5" i="4"/>
  <c r="C5" i="4"/>
  <c r="B5" i="4"/>
  <c r="X4" i="4"/>
  <c r="W4" i="4"/>
  <c r="V4" i="4"/>
  <c r="U4" i="4"/>
  <c r="S4" i="4"/>
  <c r="M4" i="4"/>
  <c r="G4" i="4"/>
  <c r="F4" i="4"/>
  <c r="E4" i="4"/>
  <c r="D4" i="4"/>
  <c r="C4" i="4"/>
  <c r="B4" i="4"/>
  <c r="X3" i="4"/>
  <c r="W3" i="4"/>
  <c r="V3" i="4"/>
  <c r="U3" i="4"/>
  <c r="S3" i="4"/>
  <c r="M3" i="4"/>
  <c r="G3" i="4"/>
  <c r="F3" i="4"/>
  <c r="E3" i="4"/>
  <c r="D3" i="4"/>
  <c r="C3" i="4"/>
  <c r="B3" i="4"/>
  <c r="X2" i="4"/>
  <c r="W2" i="4"/>
  <c r="V2" i="4"/>
  <c r="U2" i="4"/>
  <c r="S2" i="4"/>
  <c r="M2" i="4"/>
  <c r="G2" i="4"/>
  <c r="F2" i="4"/>
  <c r="E2" i="4"/>
  <c r="D2" i="4"/>
  <c r="C2" i="4"/>
  <c r="B2" i="4"/>
  <c r="B2" i="9"/>
  <c r="H2" i="9"/>
  <c r="D2" i="9"/>
  <c r="F2" i="9"/>
  <c r="A2" i="9"/>
  <c r="C2" i="9"/>
  <c r="K4" i="9"/>
  <c r="C53" i="1"/>
  <c r="C59" i="1"/>
  <c r="I12" i="1"/>
  <c r="C65" i="1"/>
  <c r="E2" i="9"/>
  <c r="C47" i="1"/>
  <c r="D12" i="1"/>
  <c r="Y12" i="1"/>
  <c r="AE12" i="1"/>
  <c r="G13" i="5" l="1"/>
  <c r="H14" i="5"/>
  <c r="G6" i="5"/>
  <c r="H20" i="5"/>
  <c r="C11" i="5"/>
  <c r="F11" i="5"/>
  <c r="F22" i="5"/>
  <c r="H13" i="5"/>
  <c r="H26" i="5"/>
  <c r="H27" i="5"/>
  <c r="G17" i="5"/>
  <c r="D16" i="5"/>
  <c r="E16" i="5"/>
  <c r="X5" i="5"/>
  <c r="F28" i="5"/>
  <c r="F9" i="5"/>
  <c r="G22" i="5"/>
  <c r="C15" i="5"/>
  <c r="C5" i="5"/>
  <c r="D23" i="5"/>
  <c r="D11" i="5"/>
  <c r="E11" i="5"/>
  <c r="F16" i="5"/>
  <c r="D27" i="5"/>
  <c r="C13" i="5"/>
  <c r="E27" i="5"/>
  <c r="E13" i="5"/>
  <c r="F27" i="5"/>
  <c r="F6" i="5"/>
  <c r="F13" i="5"/>
  <c r="D20" i="5"/>
  <c r="G27" i="5"/>
  <c r="H5" i="5"/>
  <c r="H8" i="5"/>
  <c r="F12" i="5"/>
  <c r="H15" i="5"/>
  <c r="E20" i="5"/>
  <c r="D26" i="5"/>
  <c r="G29" i="5"/>
  <c r="F20" i="5"/>
  <c r="F26" i="5"/>
  <c r="H29" i="5"/>
  <c r="C30" i="5"/>
  <c r="D10" i="5"/>
  <c r="D30" i="5"/>
  <c r="F10" i="5"/>
  <c r="G10" i="5"/>
  <c r="C17" i="5"/>
  <c r="H10" i="5"/>
  <c r="E17" i="5"/>
  <c r="C14" i="5"/>
  <c r="F17" i="5"/>
  <c r="C23" i="5"/>
  <c r="E23" i="5"/>
  <c r="C7" i="5"/>
  <c r="D15" i="5"/>
  <c r="E19" i="5"/>
  <c r="H24" i="5"/>
  <c r="D7" i="5"/>
  <c r="G11" i="5"/>
  <c r="E15" i="5"/>
  <c r="G19" i="5"/>
  <c r="C29" i="5"/>
  <c r="E7" i="5"/>
  <c r="F15" i="5"/>
  <c r="F25" i="5"/>
  <c r="E29" i="5"/>
  <c r="F29" i="5"/>
  <c r="Y5" i="5"/>
  <c r="V5" i="5"/>
  <c r="S5" i="5"/>
  <c r="P5" i="5"/>
  <c r="Q5" i="5" s="1"/>
  <c r="T5" i="5" s="1"/>
  <c r="R5" i="5"/>
  <c r="U5" i="5"/>
  <c r="Z55" i="1"/>
  <c r="T41" i="1"/>
  <c r="T55" i="1"/>
  <c r="Z48" i="1"/>
  <c r="N12" i="1"/>
  <c r="T12" i="1"/>
  <c r="T48" i="1"/>
  <c r="G9" i="5"/>
  <c r="D14" i="5"/>
  <c r="E5" i="5"/>
  <c r="F7" i="5"/>
  <c r="H9" i="5"/>
  <c r="C12" i="5"/>
  <c r="E14" i="5"/>
  <c r="G16" i="5"/>
  <c r="D21" i="5"/>
  <c r="F23" i="5"/>
  <c r="H25" i="5"/>
  <c r="C28" i="5"/>
  <c r="E30" i="5"/>
  <c r="G18" i="5"/>
  <c r="D5" i="5"/>
  <c r="H18" i="5"/>
  <c r="C21" i="5"/>
  <c r="G25" i="5"/>
  <c r="F5" i="5"/>
  <c r="G7" i="5"/>
  <c r="D12" i="5"/>
  <c r="F14" i="5"/>
  <c r="H16" i="5"/>
  <c r="C19" i="5"/>
  <c r="E21" i="5"/>
  <c r="G23" i="5"/>
  <c r="D28" i="5"/>
  <c r="F30" i="5"/>
  <c r="W5" i="5"/>
  <c r="C10" i="5"/>
  <c r="E12" i="5"/>
  <c r="D19" i="5"/>
  <c r="F21" i="5"/>
  <c r="C26" i="5"/>
  <c r="E28" i="5"/>
  <c r="G30" i="5"/>
  <c r="G21" i="5"/>
  <c r="C8" i="5"/>
  <c r="G12" i="5"/>
  <c r="D17" i="5"/>
  <c r="F19" i="5"/>
  <c r="C24" i="5"/>
  <c r="E26" i="5"/>
  <c r="G28" i="5"/>
  <c r="D8" i="5"/>
  <c r="D24" i="5"/>
  <c r="C6" i="5"/>
  <c r="E8" i="5"/>
  <c r="C22" i="5"/>
  <c r="E24" i="5"/>
  <c r="D6" i="5"/>
  <c r="F8" i="5"/>
  <c r="D22" i="5"/>
  <c r="F24" i="5"/>
  <c r="E6" i="5"/>
  <c r="C20" i="5"/>
  <c r="E22" i="5"/>
  <c r="C9" i="5"/>
  <c r="D18" i="5"/>
  <c r="C25" i="5"/>
  <c r="C18" i="5"/>
  <c r="D9" i="5"/>
  <c r="E18" i="5"/>
  <c r="D25" i="5"/>
  <c r="G2" i="9"/>
  <c r="Z4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BF46D-F3FD-4D3A-A2FA-24C23D7709D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5BFEDFA-A035-4B7E-9CC5-23457E5292C6}" name="WorksheetConnection_Analise_Rentabilidade_Motorista_Dashboard_Pro.xlsx!Tabela1" type="102" refreshedVersion="8" minRefreshableVersion="5">
    <extLst>
      <ext xmlns:x15="http://schemas.microsoft.com/office/spreadsheetml/2010/11/main" uri="{DE250136-89BD-433C-8126-D09CA5730AF9}">
        <x15:connection id="Tabela1" autoDelete="1">
          <x15:rangePr sourceName="_xlcn.WorksheetConnection_Analise_Rentabilidade_Motorista_Dashboard_Pro.xlsxTabela1"/>
        </x15:connection>
      </ext>
    </extLst>
  </connection>
</connections>
</file>

<file path=xl/sharedStrings.xml><?xml version="1.0" encoding="utf-8"?>
<sst xmlns="http://schemas.openxmlformats.org/spreadsheetml/2006/main" count="223" uniqueCount="91">
  <si>
    <t>Receita Total</t>
  </si>
  <si>
    <t>Lucro Líquido</t>
  </si>
  <si>
    <t>Ganho por Hora</t>
  </si>
  <si>
    <t>Lucro por KM</t>
  </si>
  <si>
    <t>KM Rodados</t>
  </si>
  <si>
    <t>Total de Corridas</t>
  </si>
  <si>
    <t>0</t>
  </si>
  <si>
    <t>Receita por Corrida</t>
  </si>
  <si>
    <t>Custo por KM</t>
  </si>
  <si>
    <t>Dias Trabalhados</t>
  </si>
  <si>
    <t>Corrida por Hora</t>
  </si>
  <si>
    <t>KM por Corrida</t>
  </si>
  <si>
    <t>Horas Trabalhadas</t>
  </si>
  <si>
    <t>Consumo Médio por KM/L</t>
  </si>
  <si>
    <t>Lucro Médio por Dia</t>
  </si>
  <si>
    <t>Lucro liquido</t>
  </si>
  <si>
    <t>Litros</t>
  </si>
  <si>
    <t>Total Geral</t>
  </si>
  <si>
    <t>Tempo</t>
  </si>
  <si>
    <t xml:space="preserve">Operação </t>
  </si>
  <si>
    <t xml:space="preserve">Receita </t>
  </si>
  <si>
    <t>Custos</t>
  </si>
  <si>
    <t xml:space="preserve">Resultado </t>
  </si>
  <si>
    <t xml:space="preserve">Indicadores </t>
  </si>
  <si>
    <t>Data</t>
  </si>
  <si>
    <t>Dia</t>
  </si>
  <si>
    <t xml:space="preserve">Mês </t>
  </si>
  <si>
    <t>ANO</t>
  </si>
  <si>
    <t>Semana</t>
  </si>
  <si>
    <t>Semana ano</t>
  </si>
  <si>
    <t>Tipo dia</t>
  </si>
  <si>
    <t>Aplicativo</t>
  </si>
  <si>
    <t>Corrida</t>
  </si>
  <si>
    <t>Km</t>
  </si>
  <si>
    <t>Horas</t>
  </si>
  <si>
    <t>Valor</t>
  </si>
  <si>
    <t>Combustível</t>
  </si>
  <si>
    <t>Tipo Combustivel</t>
  </si>
  <si>
    <t>Alimentação</t>
  </si>
  <si>
    <t>Manutenção</t>
  </si>
  <si>
    <t xml:space="preserve">Lucro Líquido </t>
  </si>
  <si>
    <t>Km/L</t>
  </si>
  <si>
    <t>Ganho por horas</t>
  </si>
  <si>
    <t>Ganho por km</t>
  </si>
  <si>
    <t>Valor Medio Corrida</t>
  </si>
  <si>
    <t>Media KM Corrida</t>
  </si>
  <si>
    <t>Uber</t>
  </si>
  <si>
    <t>Etanol</t>
  </si>
  <si>
    <t>Mês</t>
  </si>
  <si>
    <t>Ano</t>
  </si>
  <si>
    <t>Semana2</t>
  </si>
  <si>
    <t>Semana do ano</t>
  </si>
  <si>
    <t>Tipo de dia</t>
  </si>
  <si>
    <t>Dias trabalhado</t>
  </si>
  <si>
    <t>Horas trabalhadas</t>
  </si>
  <si>
    <t>Total corridas</t>
  </si>
  <si>
    <t>KM total</t>
  </si>
  <si>
    <t>Receita total</t>
  </si>
  <si>
    <t>Combustivel total</t>
  </si>
  <si>
    <t>Despesas total</t>
  </si>
  <si>
    <t>Ganho po KM</t>
  </si>
  <si>
    <t>Ganho por hora</t>
  </si>
  <si>
    <t>Lucro por hora</t>
  </si>
  <si>
    <t>Corrida por hora</t>
  </si>
  <si>
    <t>Receita media por corrida</t>
  </si>
  <si>
    <t>KM medio corrida</t>
  </si>
  <si>
    <t>Lucro medio dia</t>
  </si>
  <si>
    <t>Corrida por KM</t>
  </si>
  <si>
    <t>Soma de Valor</t>
  </si>
  <si>
    <t>Soma de Horas</t>
  </si>
  <si>
    <t>Soma de Litros</t>
  </si>
  <si>
    <t>Soma de Corrida</t>
  </si>
  <si>
    <t>Soma de Km</t>
  </si>
  <si>
    <t>Soma de Combustível</t>
  </si>
  <si>
    <t>Soma de Alimentação</t>
  </si>
  <si>
    <t>Soma de Manutenção</t>
  </si>
  <si>
    <t>Rótulos de Linha</t>
  </si>
  <si>
    <t xml:space="preserve">Soma de Receita </t>
  </si>
  <si>
    <t xml:space="preserve">Soma de Lucro Líquido </t>
  </si>
  <si>
    <t>Consumo Médio (KM/L)</t>
  </si>
  <si>
    <t>Total</t>
  </si>
  <si>
    <t>Contagem Distinta de Data</t>
  </si>
  <si>
    <t>sex</t>
  </si>
  <si>
    <t>dom</t>
  </si>
  <si>
    <t>qui</t>
  </si>
  <si>
    <t>sáb</t>
  </si>
  <si>
    <t>maio</t>
  </si>
  <si>
    <t>março</t>
  </si>
  <si>
    <t>abril</t>
  </si>
  <si>
    <t>junho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</si>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</sst>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[$R$-416]* #,##0.00_-;\-[$R$-416]* #,##0.00_-;_-[$R$-416]* &quot;-&quot;??_-;_-@_-"/>
    <numFmt numFmtId="166" formatCode="&quot;R$&quot;\ #,##0.00"/>
    <numFmt numFmtId="167" formatCode="0.0"/>
  </numFmts>
  <fonts count="20" x14ac:knownFonts="1">
    <font>
      <sz val="11"/>
      <color theme="1"/>
      <name val="Calibri"/>
    </font>
    <font>
      <sz val="10"/>
      <color theme="1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006100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20"/>
      <color theme="1"/>
      <name val="Calibri"/>
      <family val="2"/>
    </font>
    <font>
      <b/>
      <sz val="24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7030A0"/>
      </patternFill>
    </fill>
    <fill>
      <patternFill patternType="solid">
        <fgColor rgb="FF00B050"/>
      </patternFill>
    </fill>
    <fill>
      <patternFill patternType="solid">
        <fgColor rgb="FFC6EFCE"/>
      </patternFill>
    </fill>
    <fill>
      <patternFill patternType="solid">
        <fgColor rgb="FF0070C0"/>
      </patternFill>
    </fill>
    <fill>
      <patternFill patternType="solid">
        <fgColor rgb="FFC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/>
      <bottom style="thin">
        <color rgb="FF000000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/>
    <xf numFmtId="44" fontId="9" fillId="0" borderId="0" applyFont="0" applyFill="0" applyBorder="0" applyAlignment="0" applyProtection="0"/>
  </cellStyleXfs>
  <cellXfs count="72">
    <xf numFmtId="0" fontId="0" fillId="0" borderId="0" xfId="0"/>
    <xf numFmtId="0" fontId="4" fillId="0" borderId="0" xfId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7" fillId="0" borderId="0" xfId="1" applyFont="1" applyFill="1" applyAlignment="1">
      <alignment vertical="center"/>
    </xf>
    <xf numFmtId="0" fontId="4" fillId="0" borderId="0" xfId="1" applyFill="1" applyAlignment="1">
      <alignment vertical="center"/>
    </xf>
    <xf numFmtId="0" fontId="7" fillId="0" borderId="0" xfId="1" applyFont="1" applyFill="1" applyAlignment="1">
      <alignment horizontal="center" vertical="center"/>
    </xf>
    <xf numFmtId="165" fontId="7" fillId="0" borderId="0" xfId="1" applyNumberFormat="1" applyFont="1" applyFill="1" applyAlignment="1">
      <alignment vertical="center"/>
    </xf>
    <xf numFmtId="165" fontId="7" fillId="0" borderId="0" xfId="1" applyNumberFormat="1" applyFont="1" applyFill="1" applyAlignment="1">
      <alignment vertical="center" wrapText="1"/>
    </xf>
    <xf numFmtId="14" fontId="4" fillId="0" borderId="0" xfId="1" applyNumberFormat="1" applyFill="1" applyAlignment="1">
      <alignment vertical="center"/>
    </xf>
    <xf numFmtId="165" fontId="4" fillId="0" borderId="0" xfId="1" applyNumberFormat="1" applyFill="1" applyAlignment="1">
      <alignment vertical="center"/>
    </xf>
    <xf numFmtId="2" fontId="7" fillId="0" borderId="0" xfId="1" applyNumberFormat="1" applyFont="1" applyFill="1" applyAlignment="1">
      <alignment horizontal="center" vertical="center" wrapText="1"/>
    </xf>
    <xf numFmtId="2" fontId="4" fillId="0" borderId="0" xfId="1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4" fillId="0" borderId="0" xfId="1" applyNumberFormat="1" applyFill="1" applyAlignment="1">
      <alignment vertical="center"/>
    </xf>
    <xf numFmtId="14" fontId="0" fillId="0" borderId="0" xfId="0" applyNumberForma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6" fillId="0" borderId="0" xfId="0" applyFont="1"/>
    <xf numFmtId="166" fontId="10" fillId="0" borderId="0" xfId="0" applyNumberFormat="1" applyFont="1" applyAlignment="1">
      <alignment horizontal="center" vertical="center"/>
    </xf>
    <xf numFmtId="166" fontId="10" fillId="0" borderId="0" xfId="2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14" fillId="0" borderId="0" xfId="0" applyFont="1"/>
    <xf numFmtId="166" fontId="14" fillId="0" borderId="0" xfId="0" applyNumberFormat="1" applyFont="1"/>
    <xf numFmtId="167" fontId="14" fillId="0" borderId="0" xfId="0" applyNumberFormat="1" applyFont="1"/>
    <xf numFmtId="2" fontId="14" fillId="0" borderId="0" xfId="0" applyNumberFormat="1" applyFont="1"/>
    <xf numFmtId="166" fontId="0" fillId="0" borderId="0" xfId="0" applyNumberFormat="1"/>
    <xf numFmtId="0" fontId="17" fillId="0" borderId="0" xfId="0" applyFont="1" applyAlignment="1">
      <alignment horizontal="center" vertical="center"/>
    </xf>
    <xf numFmtId="166" fontId="6" fillId="0" borderId="0" xfId="0" applyNumberFormat="1" applyFont="1"/>
    <xf numFmtId="165" fontId="6" fillId="0" borderId="0" xfId="0" applyNumberFormat="1" applyFont="1"/>
    <xf numFmtId="0" fontId="19" fillId="0" borderId="0" xfId="0" applyFont="1"/>
    <xf numFmtId="0" fontId="6" fillId="0" borderId="0" xfId="0" pivotButton="1" applyFont="1"/>
    <xf numFmtId="0" fontId="6" fillId="0" borderId="0" xfId="0" applyFont="1" applyAlignment="1">
      <alignment horizontal="left"/>
    </xf>
    <xf numFmtId="0" fontId="12" fillId="0" borderId="0" xfId="0" applyFont="1" applyAlignment="1">
      <alignment horizontal="center" vertical="top"/>
    </xf>
    <xf numFmtId="0" fontId="18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left" vertical="top"/>
    </xf>
    <xf numFmtId="167" fontId="18" fillId="0" borderId="0" xfId="0" applyNumberFormat="1" applyFont="1" applyAlignment="1">
      <alignment horizontal="left" vertical="top"/>
    </xf>
    <xf numFmtId="2" fontId="18" fillId="0" borderId="0" xfId="0" applyNumberFormat="1" applyFont="1" applyAlignment="1">
      <alignment horizontal="left" vertical="top"/>
    </xf>
    <xf numFmtId="0" fontId="18" fillId="0" borderId="0" xfId="0" applyFont="1" applyAlignment="1">
      <alignment horizontal="left" vertical="top"/>
    </xf>
    <xf numFmtId="166" fontId="18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6" fillId="0" borderId="0" xfId="0" applyFont="1" applyAlignment="1">
      <alignment horizontal="center" vertical="top"/>
    </xf>
    <xf numFmtId="166" fontId="13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left" vertical="top"/>
    </xf>
    <xf numFmtId="166" fontId="13" fillId="0" borderId="0" xfId="0" applyNumberFormat="1" applyFont="1" applyAlignment="1">
      <alignment horizontal="left"/>
    </xf>
    <xf numFmtId="0" fontId="4" fillId="3" borderId="0" xfId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165" fontId="6" fillId="2" borderId="0" xfId="1" applyNumberFormat="1" applyFont="1" applyFill="1" applyAlignment="1">
      <alignment horizontal="center" vertical="center"/>
    </xf>
    <xf numFmtId="164" fontId="5" fillId="7" borderId="0" xfId="1" applyNumberFormat="1" applyFont="1" applyFill="1" applyAlignment="1">
      <alignment horizontal="center" vertical="center"/>
    </xf>
    <xf numFmtId="164" fontId="5" fillId="4" borderId="0" xfId="1" applyNumberFormat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</cellXfs>
  <cellStyles count="3">
    <cellStyle name="Correto" xfId="1" xr:uid="{00000000-0005-0000-0000-000000000000}"/>
    <cellStyle name="Moeda" xfId="2" xr:uid="{00000000-0005-0000-0000-000001000000}"/>
    <cellStyle name="Normal" xfId="0" builtinId="0"/>
  </cellStyles>
  <dxfs count="5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family val="2"/>
      </font>
    </dxf>
    <dxf>
      <font>
        <b/>
        <family val="2"/>
      </font>
    </dxf>
    <dxf>
      <numFmt numFmtId="166" formatCode="&quot;R$&quot;\ #,##0.00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numFmt numFmtId="166" formatCode="&quot;R$&quot;\ #,##0.00"/>
    </dxf>
    <dxf>
      <font>
        <b/>
      </font>
    </dxf>
    <dxf>
      <font>
        <color auto="1"/>
      </font>
    </dxf>
    <dxf>
      <numFmt numFmtId="166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family val="2"/>
      </font>
    </dxf>
    <dxf>
      <font>
        <b/>
        <family val="2"/>
      </font>
    </dxf>
    <dxf>
      <numFmt numFmtId="166" formatCode="&quot;R$&quot;\ #,##0.00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numFmt numFmtId="166" formatCode="&quot;R$&quot;\ #,##0.00"/>
    </dxf>
    <dxf>
      <font>
        <b/>
        <family val="2"/>
      </font>
    </dxf>
    <dxf>
      <font>
        <b/>
        <family val="2"/>
      </font>
    </dxf>
    <dxf>
      <numFmt numFmtId="166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family val="2"/>
      </font>
    </dxf>
    <dxf>
      <font>
        <b/>
        <family val="2"/>
      </font>
    </dxf>
    <dxf>
      <numFmt numFmtId="166" formatCode="&quot;R$&quot;\ #,##0.00"/>
    </dxf>
    <dxf>
      <font>
        <b/>
        <family val="2"/>
      </font>
    </dxf>
    <dxf>
      <font>
        <b/>
        <family val="2"/>
      </font>
    </dxf>
    <dxf>
      <numFmt numFmtId="166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family val="2"/>
      </font>
    </dxf>
    <dxf>
      <font>
        <b/>
        <family val="2"/>
      </font>
    </dxf>
    <dxf>
      <numFmt numFmtId="166" formatCode="&quot;R$&quot;\ #,##0.00"/>
    </dxf>
    <dxf>
      <font>
        <b/>
        <family val="2"/>
      </font>
    </dxf>
    <dxf>
      <font>
        <b/>
        <family val="2"/>
      </font>
    </dxf>
    <dxf>
      <font>
        <b/>
        <i val="0"/>
        <color theme="1"/>
      </font>
      <fill>
        <patternFill>
          <fgColor rgb="FF0000CC"/>
        </patternFill>
      </fill>
    </dxf>
    <dxf>
      <font>
        <b/>
        <i val="0"/>
        <color theme="1"/>
      </font>
      <fill>
        <patternFill patternType="solid">
          <fgColor rgb="FF0000CC"/>
          <bgColor auto="1"/>
        </patternFill>
      </fill>
    </dxf>
    <dxf>
      <font>
        <b/>
        <i val="0"/>
        <color rgb="FF0000CC"/>
      </font>
      <border>
        <bottom style="thin">
          <color theme="4"/>
        </bottom>
        <vertical/>
        <horizontal/>
      </border>
    </dxf>
    <dxf>
      <font>
        <b/>
        <i val="0"/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2222" pivot="0" table="0" count="10" xr9:uid="{1A9DA8C8-EC72-4F87-AD44-8AB8957B53A3}">
      <tableStyleElement type="wholeTable" dxfId="56"/>
      <tableStyleElement type="headerRow" dxfId="55"/>
    </tableStyle>
    <tableStyle name="Estilo de Segmentação de Dados 1" pivot="0" table="0" count="10" xr9:uid="{9286CF2E-B597-4971-935E-2346033019D8}">
      <tableStyleElement type="wholeTable" dxfId="54"/>
      <tableStyleElement type="headerRow" dxfId="53"/>
    </tableStyle>
  </tableStyles>
  <colors>
    <mruColors>
      <color rgb="FF0000CC"/>
      <color rgb="FF1316BE"/>
      <color rgb="FF000099"/>
      <color rgb="FF3B08F8"/>
    </mruColors>
  </colors>
  <extLst>
    <ext xmlns:x14="http://schemas.microsoft.com/office/spreadsheetml/2009/9/main" uri="{46F421CA-312F-682f-3DD2-61675219B42D}">
      <x14:dxfs count="16">
        <dxf>
          <fill>
            <patternFill>
              <fgColor rgb="FF1316BE"/>
            </patternFill>
          </fill>
        </dxf>
        <dxf>
          <fill>
            <patternFill>
              <fgColor rgb="FF1316BE"/>
            </patternFill>
          </fill>
        </dxf>
        <dxf>
          <font>
            <color rgb="FF1316BE"/>
          </font>
          <fill>
            <patternFill patternType="solid">
              <fgColor rgb="FF0000CC"/>
              <bgColor theme="0"/>
            </patternFill>
          </fill>
        </dxf>
        <dxf>
          <fill>
            <patternFill>
              <fgColor rgb="FF1316BE"/>
            </patternFill>
          </fill>
        </dxf>
        <dxf>
          <font>
            <b/>
            <i val="0"/>
          </font>
          <fill>
            <patternFill>
              <fgColor rgb="FF1316BE"/>
            </patternFill>
          </fill>
        </dxf>
        <dxf>
          <font>
            <b/>
            <i val="0"/>
          </font>
          <fill>
            <patternFill>
              <fgColor rgb="FF0000CC"/>
            </patternFill>
          </fill>
        </dxf>
        <dxf>
          <fill>
            <patternFill>
              <fgColor rgb="FF1316BE"/>
            </patternFill>
          </fill>
        </dxf>
        <dxf>
          <font>
            <b/>
            <i val="0"/>
            <color theme="0"/>
          </font>
          <fill>
            <patternFill>
              <fgColor rgb="FF0000CC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222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Estilo de Segmentação de Dad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powerPivotData" Target="model/item.data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pt-BR" sz="1800" b="1" i="0" u="none">
                <a:solidFill>
                  <a:srgbClr val="1602AA"/>
                </a:solidFill>
                <a:latin typeface="+mn-lt"/>
                <a:ea typeface="+mn-lt"/>
                <a:cs typeface="+mn-lt"/>
              </a:rPr>
              <a:t>Corridas por Aplicativo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6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[Dashboard_Rentabilidade_Motorista_Aplicativo.xlsx.xlsx]Tabela Dinamica!Tabela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CC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0000CC"/>
                </a:solidFill>
              </a:rPr>
              <a:t>Corridas</a:t>
            </a:r>
            <a:r>
              <a:rPr lang="en-US" sz="2000" b="1" baseline="0">
                <a:solidFill>
                  <a:srgbClr val="0000CC"/>
                </a:solidFill>
              </a:rPr>
              <a:t> por Aplicativo</a:t>
            </a:r>
            <a:endParaRPr lang="en-US" sz="2000" b="1">
              <a:solidFill>
                <a:srgbClr val="0000CC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C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00CC"/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5000000000000001E-2"/>
          <c:y val="0.21657188684747739"/>
          <c:w val="0.93888888888888888"/>
          <c:h val="0.598398950131233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 Dinamica'!$F$14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BB-4628-942F-2DE9B05DDE5B}"/>
              </c:ext>
            </c:extLst>
          </c:dPt>
          <c:dPt>
            <c:idx val="1"/>
            <c:invertIfNegative val="0"/>
            <c:bubble3D val="0"/>
            <c:spPr>
              <a:solidFill>
                <a:srgbClr val="0000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73D-4E8E-BEB1-7814DEBB8A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Dinamica'!$E$15:$E$17</c:f>
              <c:strCache>
                <c:ptCount val="2"/>
                <c:pt idx="0">
                  <c:v>99</c:v>
                </c:pt>
                <c:pt idx="1">
                  <c:v>Uber</c:v>
                </c:pt>
              </c:strCache>
            </c:strRef>
          </c:cat>
          <c:val>
            <c:numRef>
              <c:f>'Tabela Dinamica'!$F$15:$F$17</c:f>
              <c:numCache>
                <c:formatCode>General</c:formatCode>
                <c:ptCount val="2"/>
                <c:pt idx="0">
                  <c:v>198</c:v>
                </c:pt>
                <c:pt idx="1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F-40A7-ABAE-0BFEEC9BEE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6826911"/>
        <c:axId val="431383503"/>
      </c:barChart>
      <c:catAx>
        <c:axId val="536826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1383503"/>
        <c:crosses val="autoZero"/>
        <c:auto val="1"/>
        <c:lblAlgn val="ctr"/>
        <c:lblOffset val="100"/>
        <c:noMultiLvlLbl val="0"/>
      </c:catAx>
      <c:valAx>
        <c:axId val="4313835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368269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[Dashboard_Rentabilidade_Motorista_Aplicativo.xlsx.xlsx]Tabela Dinamica!Tabela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CC"/>
                </a:solidFill>
                <a:latin typeface="+mn-lt"/>
                <a:ea typeface="+mn-ea"/>
                <a:cs typeface="+mn-cs"/>
              </a:defRPr>
            </a:pPr>
            <a:r>
              <a:rPr lang="pt-BR" sz="2000" b="1">
                <a:solidFill>
                  <a:srgbClr val="0000CC"/>
                </a:solidFill>
              </a:rPr>
              <a:t>Distribuição</a:t>
            </a:r>
            <a:r>
              <a:rPr lang="pt-BR" sz="2000" b="1" baseline="0">
                <a:solidFill>
                  <a:srgbClr val="0000CC"/>
                </a:solidFill>
              </a:rPr>
              <a:t> de Custos</a:t>
            </a:r>
            <a:endParaRPr lang="pt-BR" sz="2000" b="1">
              <a:solidFill>
                <a:srgbClr val="0000CC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CC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00CC"/>
          </a:solidFill>
          <a:ln>
            <a:noFill/>
          </a:ln>
          <a:effectLst/>
        </c:spPr>
        <c:dLbl>
          <c:idx val="0"/>
          <c:layout>
            <c:manualLayout>
              <c:x val="-0.1417486469731678"/>
              <c:y val="3.58974373469575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613373235999555E-2"/>
          <c:y val="0.26095543149426331"/>
          <c:w val="0.90858423094612539"/>
          <c:h val="0.613403537791380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'Tabela Dinamica'!$H$3</c:f>
              <c:strCache>
                <c:ptCount val="1"/>
                <c:pt idx="0">
                  <c:v>Soma de Combustível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8CE-41D3-8066-42628555915F}"/>
              </c:ext>
            </c:extLst>
          </c:dPt>
          <c:dLbls>
            <c:dLbl>
              <c:idx val="0"/>
              <c:layout>
                <c:manualLayout>
                  <c:x val="-0.1417486469731678"/>
                  <c:y val="3.589743734695758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CE-41D3-8066-4262855591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Dinamica'!$H$4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'Tabela Dinamica'!$H$4</c:f>
              <c:numCache>
                <c:formatCode>"R$"\ #,##0.00</c:formatCode>
                <c:ptCount val="1"/>
                <c:pt idx="0">
                  <c:v>4685.3399999999992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E-4DC2-B6A4-E1977BF86DA1}"/>
            </c:ext>
          </c:extLst>
        </c:ser>
        <c:ser>
          <c:idx val="1"/>
          <c:order val="1"/>
          <c:tx>
            <c:strRef>
              <c:f>'Tabela Dinamica'!$I$3</c:f>
              <c:strCache>
                <c:ptCount val="1"/>
                <c:pt idx="0">
                  <c:v>Soma de Alimentação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Dinamica'!$H$4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'Tabela Dinamica'!$I$4</c:f>
              <c:numCache>
                <c:formatCode>"R$"\ #,##0.00</c:formatCode>
                <c:ptCount val="1"/>
                <c:pt idx="0">
                  <c:v>299.99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AE-4DC2-B6A4-E1977BF86DA1}"/>
            </c:ext>
          </c:extLst>
        </c:ser>
        <c:ser>
          <c:idx val="2"/>
          <c:order val="2"/>
          <c:tx>
            <c:strRef>
              <c:f>'Tabela Dinamica'!$J$3</c:f>
              <c:strCache>
                <c:ptCount val="1"/>
                <c:pt idx="0">
                  <c:v>Soma de Manutenção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Dinamica'!$H$4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'Tabela Dinamica'!$J$4</c:f>
              <c:numCache>
                <c:formatCode>"R$"\ #,##0.00</c:formatCode>
                <c:ptCount val="1"/>
                <c:pt idx="0">
                  <c:v>904.33999999999992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AE-4DC2-B6A4-E1977BF86D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6316479"/>
        <c:axId val="126315519"/>
      </c:barChart>
      <c:catAx>
        <c:axId val="1263164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6315519"/>
        <c:crosses val="autoZero"/>
        <c:auto val="1"/>
        <c:lblAlgn val="ctr"/>
        <c:lblOffset val="100"/>
        <c:noMultiLvlLbl val="0"/>
      </c:catAx>
      <c:valAx>
        <c:axId val="12631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31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[Dashboard_Rentabilidade_Motorista_Aplicativo.xlsx.xlsx]Tabela Dinamica!Tabela Dinâmica6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CC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0000CC"/>
                </a:solidFill>
              </a:rPr>
              <a:t>Lucro por</a:t>
            </a:r>
            <a:r>
              <a:rPr lang="en-US" sz="2000" b="1" baseline="0">
                <a:solidFill>
                  <a:srgbClr val="0000CC"/>
                </a:solidFill>
              </a:rPr>
              <a:t> Dia da Semana</a:t>
            </a:r>
            <a:endParaRPr lang="en-US" sz="2000" b="1">
              <a:solidFill>
                <a:srgbClr val="0000CC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C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Dinamica'!$F$7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05E-4154-91C8-53F18A6B311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05E-4154-91C8-53F18A6B311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5E-4154-91C8-53F18A6B311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05E-4154-91C8-53F18A6B31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Dinamica'!$E$8:$E$12</c:f>
              <c:strCache>
                <c:ptCount val="4"/>
                <c:pt idx="0">
                  <c:v>dom</c:v>
                </c:pt>
                <c:pt idx="1">
                  <c:v>qui</c:v>
                </c:pt>
                <c:pt idx="2">
                  <c:v>sex</c:v>
                </c:pt>
                <c:pt idx="3">
                  <c:v>sáb</c:v>
                </c:pt>
              </c:strCache>
            </c:strRef>
          </c:cat>
          <c:val>
            <c:numRef>
              <c:f>'Tabela Dinamica'!$F$8:$F$12</c:f>
              <c:numCache>
                <c:formatCode>"R$"\ #,##0.00</c:formatCode>
                <c:ptCount val="4"/>
                <c:pt idx="0">
                  <c:v>2730.93</c:v>
                </c:pt>
                <c:pt idx="1">
                  <c:v>1791.3799999999997</c:v>
                </c:pt>
                <c:pt idx="2">
                  <c:v>3243.7699999999991</c:v>
                </c:pt>
                <c:pt idx="3">
                  <c:v>3664.75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2-4EDA-928A-58B484C195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936255"/>
        <c:axId val="125935295"/>
      </c:barChart>
      <c:catAx>
        <c:axId val="125936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935295"/>
        <c:crosses val="autoZero"/>
        <c:auto val="1"/>
        <c:lblAlgn val="ctr"/>
        <c:lblOffset val="100"/>
        <c:noMultiLvlLbl val="0"/>
      </c:catAx>
      <c:valAx>
        <c:axId val="125935295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2593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[Dashboard_Rentabilidade_Motorista_Aplicativo.xlsx.xlsx]Tabela Dinamica!Tabela Dinâmica7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CC"/>
                </a:solidFill>
                <a:latin typeface="+mn-lt"/>
                <a:ea typeface="+mn-ea"/>
                <a:cs typeface="+mn-cs"/>
              </a:defRPr>
            </a:pPr>
            <a:r>
              <a:rPr lang="pt-BR" sz="2000" b="1">
                <a:solidFill>
                  <a:srgbClr val="0000CC"/>
                </a:solidFill>
              </a:rPr>
              <a:t>Evolução de Receita e Lucro Líquido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CC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14408066028043"/>
          <c:y val="0.1809502485919971"/>
          <c:w val="0.85136240519770034"/>
          <c:h val="0.5529342450345438"/>
        </c:manualLayout>
      </c:layout>
      <c:lineChart>
        <c:grouping val="standard"/>
        <c:varyColors val="0"/>
        <c:ser>
          <c:idx val="0"/>
          <c:order val="0"/>
          <c:tx>
            <c:strRef>
              <c:f>'Tabela Dinamica'!$B$14</c:f>
              <c:strCache>
                <c:ptCount val="1"/>
                <c:pt idx="0">
                  <c:v>Soma de Receita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Dinamica'!$A$15:$A$20</c:f>
              <c:strCache>
                <c:ptCount val="5"/>
                <c:pt idx="0">
                  <c:v>março</c:v>
                </c:pt>
                <c:pt idx="1">
                  <c:v>abril</c:v>
                </c:pt>
                <c:pt idx="2">
                  <c:v>maio</c:v>
                </c:pt>
                <c:pt idx="3">
                  <c:v>junho</c:v>
                </c:pt>
                <c:pt idx="4">
                  <c:v>julho</c:v>
                </c:pt>
              </c:strCache>
            </c:strRef>
          </c:cat>
          <c:val>
            <c:numRef>
              <c:f>'Tabela Dinamica'!$B$15:$B$20</c:f>
              <c:numCache>
                <c:formatCode>"R$"\ #,##0.00</c:formatCode>
                <c:ptCount val="5"/>
                <c:pt idx="0">
                  <c:v>1830.0200000000002</c:v>
                </c:pt>
                <c:pt idx="1">
                  <c:v>542.29999999999995</c:v>
                </c:pt>
                <c:pt idx="2">
                  <c:v>1731.92</c:v>
                </c:pt>
                <c:pt idx="3">
                  <c:v>975.34999999999991</c:v>
                </c:pt>
                <c:pt idx="4">
                  <c:v>1665.8999999999999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1-4A36-AA9D-6B08A7275C19}"/>
            </c:ext>
          </c:extLst>
        </c:ser>
        <c:ser>
          <c:idx val="1"/>
          <c:order val="1"/>
          <c:tx>
            <c:strRef>
              <c:f>'Tabela Dinamica'!$C$14</c:f>
              <c:strCache>
                <c:ptCount val="1"/>
                <c:pt idx="0">
                  <c:v>Soma de Valor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Dinamica'!$A$15:$A$20</c:f>
              <c:strCache>
                <c:ptCount val="5"/>
                <c:pt idx="0">
                  <c:v>março</c:v>
                </c:pt>
                <c:pt idx="1">
                  <c:v>abril</c:v>
                </c:pt>
                <c:pt idx="2">
                  <c:v>maio</c:v>
                </c:pt>
                <c:pt idx="3">
                  <c:v>junho</c:v>
                </c:pt>
                <c:pt idx="4">
                  <c:v>julho</c:v>
                </c:pt>
              </c:strCache>
            </c:strRef>
          </c:cat>
          <c:val>
            <c:numRef>
              <c:f>'Tabela Dinamica'!$C$15:$C$20</c:f>
              <c:numCache>
                <c:formatCode>"R$"\ #,##0.00</c:formatCode>
                <c:ptCount val="5"/>
                <c:pt idx="0">
                  <c:v>3370.82</c:v>
                </c:pt>
                <c:pt idx="1">
                  <c:v>975.84999999999991</c:v>
                </c:pt>
                <c:pt idx="2">
                  <c:v>2993.89</c:v>
                </c:pt>
                <c:pt idx="3">
                  <c:v>1581.96</c:v>
                </c:pt>
                <c:pt idx="4">
                  <c:v>2508.31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B1-4A36-AA9D-6B08A7275C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5604463"/>
        <c:axId val="635606383"/>
      </c:lineChart>
      <c:catAx>
        <c:axId val="635604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5606383"/>
        <c:crosses val="autoZero"/>
        <c:auto val="1"/>
        <c:lblAlgn val="ctr"/>
        <c:lblOffset val="100"/>
        <c:noMultiLvlLbl val="0"/>
      </c:catAx>
      <c:valAx>
        <c:axId val="63560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560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638931763197485"/>
          <c:y val="0.84254905978477157"/>
          <c:w val="0.53621646921388089"/>
          <c:h val="0.15745081190208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[Dashboard_Rentabilidade_Motorista_Aplicativo.xlsx.xlsx]Tabela Dinamica!Tabela Dinâmica8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CC"/>
                </a:solidFill>
                <a:latin typeface="+mn-lt"/>
                <a:ea typeface="+mn-ea"/>
                <a:cs typeface="+mn-cs"/>
              </a:defRPr>
            </a:pPr>
            <a:r>
              <a:rPr lang="pt-BR" sz="2000" b="1">
                <a:solidFill>
                  <a:srgbClr val="0000CC"/>
                </a:solidFill>
              </a:rPr>
              <a:t>Receita e Lucro por Aplicativo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CC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80738297633743"/>
          <c:y val="0.18501033409625189"/>
          <c:w val="0.84342340825281703"/>
          <c:h val="0.628427714144083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'Tabela Dinamica'!$B$7</c:f>
              <c:strCache>
                <c:ptCount val="1"/>
                <c:pt idx="0">
                  <c:v>Soma de Receita 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Dinamica'!$A$8:$A$12</c:f>
              <c:strCache>
                <c:ptCount val="4"/>
                <c:pt idx="0">
                  <c:v>dom</c:v>
                </c:pt>
                <c:pt idx="1">
                  <c:v>qui</c:v>
                </c:pt>
                <c:pt idx="2">
                  <c:v>sex</c:v>
                </c:pt>
                <c:pt idx="3">
                  <c:v>sáb</c:v>
                </c:pt>
              </c:strCache>
            </c:strRef>
          </c:cat>
          <c:val>
            <c:numRef>
              <c:f>'Tabela Dinamica'!$B$8:$B$12</c:f>
              <c:numCache>
                <c:formatCode>"R$"\ #,##0.00</c:formatCode>
                <c:ptCount val="4"/>
                <c:pt idx="0">
                  <c:v>1741.4799999999998</c:v>
                </c:pt>
                <c:pt idx="1">
                  <c:v>606.41999999999996</c:v>
                </c:pt>
                <c:pt idx="2">
                  <c:v>2032.6900000000003</c:v>
                </c:pt>
                <c:pt idx="3">
                  <c:v>2364.9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2-4B9E-A8F7-D19ADAC5EA54}"/>
            </c:ext>
          </c:extLst>
        </c:ser>
        <c:ser>
          <c:idx val="1"/>
          <c:order val="1"/>
          <c:tx>
            <c:strRef>
              <c:f>'Tabela Dinamica'!$C$7</c:f>
              <c:strCache>
                <c:ptCount val="1"/>
                <c:pt idx="0">
                  <c:v>Soma de Valor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Dinamica'!$A$8:$A$12</c:f>
              <c:strCache>
                <c:ptCount val="4"/>
                <c:pt idx="0">
                  <c:v>dom</c:v>
                </c:pt>
                <c:pt idx="1">
                  <c:v>qui</c:v>
                </c:pt>
                <c:pt idx="2">
                  <c:v>sex</c:v>
                </c:pt>
                <c:pt idx="3">
                  <c:v>sáb</c:v>
                </c:pt>
              </c:strCache>
            </c:strRef>
          </c:cat>
          <c:val>
            <c:numRef>
              <c:f>'Tabela Dinamica'!$C$8:$C$12</c:f>
              <c:numCache>
                <c:formatCode>"R$"\ #,##0.00</c:formatCode>
                <c:ptCount val="4"/>
                <c:pt idx="0">
                  <c:v>2730.93</c:v>
                </c:pt>
                <c:pt idx="1">
                  <c:v>1791.3799999999997</c:v>
                </c:pt>
                <c:pt idx="2">
                  <c:v>3243.7699999999991</c:v>
                </c:pt>
                <c:pt idx="3">
                  <c:v>3664.75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2-4B9E-A8F7-D19ADAC5EA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3049391"/>
        <c:axId val="133046991"/>
      </c:barChart>
      <c:catAx>
        <c:axId val="1330493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046991"/>
        <c:crosses val="autoZero"/>
        <c:auto val="1"/>
        <c:lblAlgn val="ctr"/>
        <c:lblOffset val="100"/>
        <c:noMultiLvlLbl val="0"/>
      </c:catAx>
      <c:valAx>
        <c:axId val="133046991"/>
        <c:scaling>
          <c:orientation val="minMax"/>
        </c:scaling>
        <c:delete val="1"/>
        <c:axPos val="b"/>
        <c:numFmt formatCode="&quot;R$&quot;\ #,##0.00" sourceLinked="1"/>
        <c:majorTickMark val="out"/>
        <c:minorTickMark val="none"/>
        <c:tickLblPos val="nextTo"/>
        <c:crossAx val="13304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303076052633204"/>
          <c:y val="0.85254427110895337"/>
          <c:w val="0.65846521453687912"/>
          <c:h val="0.125834113404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chart" Target="../charts/chart2.xml"/><Relationship Id="rId26" Type="http://schemas.openxmlformats.org/officeDocument/2006/relationships/image" Target="../media/image20.png"/><Relationship Id="rId3" Type="http://schemas.openxmlformats.org/officeDocument/2006/relationships/image" Target="../media/image2.png"/><Relationship Id="rId21" Type="http://schemas.openxmlformats.org/officeDocument/2006/relationships/chart" Target="../charts/chart5.xml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5" Type="http://schemas.openxmlformats.org/officeDocument/2006/relationships/image" Target="../media/image19.svg"/><Relationship Id="rId2" Type="http://schemas.openxmlformats.org/officeDocument/2006/relationships/image" Target="../media/image1.png"/><Relationship Id="rId16" Type="http://schemas.openxmlformats.org/officeDocument/2006/relationships/image" Target="../media/image15.png"/><Relationship Id="rId20" Type="http://schemas.openxmlformats.org/officeDocument/2006/relationships/chart" Target="../charts/chart4.xml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24" Type="http://schemas.openxmlformats.org/officeDocument/2006/relationships/image" Target="../media/image18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23" Type="http://schemas.openxmlformats.org/officeDocument/2006/relationships/image" Target="../media/image17.png"/><Relationship Id="rId10" Type="http://schemas.openxmlformats.org/officeDocument/2006/relationships/image" Target="../media/image9.png"/><Relationship Id="rId19" Type="http://schemas.openxmlformats.org/officeDocument/2006/relationships/chart" Target="../charts/chart3.xml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Relationship Id="rId22" Type="http://schemas.openxmlformats.org/officeDocument/2006/relationships/chart" Target="../charts/chart6.xml"/><Relationship Id="rId27" Type="http://schemas.openxmlformats.org/officeDocument/2006/relationships/image" Target="../media/image2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15804</xdr:colOff>
      <xdr:row>14</xdr:row>
      <xdr:rowOff>164296</xdr:rowOff>
    </xdr:from>
    <xdr:to>
      <xdr:col>33</xdr:col>
      <xdr:colOff>104776</xdr:colOff>
      <xdr:row>32</xdr:row>
      <xdr:rowOff>174485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34</xdr:col>
      <xdr:colOff>54429</xdr:colOff>
      <xdr:row>7</xdr:row>
      <xdr:rowOff>136072</xdr:rowOff>
    </xdr:to>
    <xdr:sp macro="" textlink="">
      <xdr:nvSpPr>
        <xdr:cNvPr id="7" name="Retângulo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Grp="1"/>
        </xdr:cNvSpPr>
      </xdr:nvSpPr>
      <xdr:spPr>
        <a:xfrm>
          <a:off x="0" y="0"/>
          <a:ext cx="20723679" cy="1483179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endParaRPr/>
        </a:p>
      </xdr:txBody>
    </xdr:sp>
    <xdr:clientData/>
  </xdr:twoCellAnchor>
  <xdr:twoCellAnchor editAs="oneCell">
    <xdr:from>
      <xdr:col>2</xdr:col>
      <xdr:colOff>380999</xdr:colOff>
      <xdr:row>1</xdr:row>
      <xdr:rowOff>122465</xdr:rowOff>
    </xdr:from>
    <xdr:to>
      <xdr:col>18</xdr:col>
      <xdr:colOff>68035</xdr:colOff>
      <xdr:row>4</xdr:row>
      <xdr:rowOff>81643</xdr:rowOff>
    </xdr:to>
    <xdr:sp macro="" textlink="">
      <xdr:nvSpPr>
        <xdr:cNvPr id="8" name="Retângulo Arredondado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Grp="1"/>
        </xdr:cNvSpPr>
      </xdr:nvSpPr>
      <xdr:spPr>
        <a:xfrm>
          <a:off x="1279070" y="312965"/>
          <a:ext cx="9538608" cy="530678"/>
        </a:xfrm>
        <a:prstGeom prst="round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anchor="t">
          <a:noAutofit/>
        </a:bodyPr>
        <a:lstStyle/>
        <a:p>
          <a:pPr marL="0" indent="0" algn="l">
            <a:buNone/>
          </a:pPr>
          <a:r>
            <a:rPr lang="pt-BR" sz="2400" b="1"/>
            <a:t>Dashboard de Análise de Rentabilidade para Motoristas de Aplicativo</a:t>
          </a:r>
          <a:endParaRPr b="1"/>
        </a:p>
      </xdr:txBody>
    </xdr:sp>
    <xdr:clientData/>
  </xdr:twoCellAnchor>
  <xdr:twoCellAnchor editAs="oneCell">
    <xdr:from>
      <xdr:col>16</xdr:col>
      <xdr:colOff>556362</xdr:colOff>
      <xdr:row>8</xdr:row>
      <xdr:rowOff>4027</xdr:rowOff>
    </xdr:from>
    <xdr:to>
      <xdr:col>22</xdr:col>
      <xdr:colOff>4772</xdr:colOff>
      <xdr:row>14</xdr:row>
      <xdr:rowOff>27160</xdr:rowOff>
    </xdr:to>
    <xdr:sp macro="" textlink="">
      <xdr:nvSpPr>
        <xdr:cNvPr id="9" name="Retângulo: Cantos Arredondados 1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Grp="1"/>
        </xdr:cNvSpPr>
      </xdr:nvSpPr>
      <xdr:spPr>
        <a:xfrm>
          <a:off x="10043262" y="1547077"/>
          <a:ext cx="3173245" cy="1242333"/>
        </a:xfrm>
        <a:prstGeom prst="round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r">
            <a:buNone/>
          </a:pPr>
          <a:endParaRPr/>
        </a:p>
      </xdr:txBody>
    </xdr:sp>
    <xdr:clientData/>
  </xdr:twoCellAnchor>
  <xdr:twoCellAnchor editAs="oneCell">
    <xdr:from>
      <xdr:col>6</xdr:col>
      <xdr:colOff>1379</xdr:colOff>
      <xdr:row>8</xdr:row>
      <xdr:rowOff>11206</xdr:rowOff>
    </xdr:from>
    <xdr:to>
      <xdr:col>11</xdr:col>
      <xdr:colOff>59892</xdr:colOff>
      <xdr:row>14</xdr:row>
      <xdr:rowOff>47140</xdr:rowOff>
    </xdr:to>
    <xdr:sp macro="" textlink="">
      <xdr:nvSpPr>
        <xdr:cNvPr id="10" name="Retângulo: Cantos Arredondados 1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Grp="1"/>
        </xdr:cNvSpPr>
      </xdr:nvSpPr>
      <xdr:spPr>
        <a:xfrm>
          <a:off x="3335129" y="1554256"/>
          <a:ext cx="3163663" cy="1255134"/>
        </a:xfrm>
        <a:prstGeom prst="round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r">
            <a:buNone/>
          </a:pPr>
          <a:endParaRPr/>
        </a:p>
      </xdr:txBody>
    </xdr:sp>
    <xdr:clientData/>
  </xdr:twoCellAnchor>
  <xdr:twoCellAnchor editAs="oneCell">
    <xdr:from>
      <xdr:col>11</xdr:col>
      <xdr:colOff>244134</xdr:colOff>
      <xdr:row>8</xdr:row>
      <xdr:rowOff>15412</xdr:rowOff>
    </xdr:from>
    <xdr:to>
      <xdr:col>16</xdr:col>
      <xdr:colOff>366599</xdr:colOff>
      <xdr:row>14</xdr:row>
      <xdr:rowOff>55632</xdr:rowOff>
    </xdr:to>
    <xdr:sp macro="" textlink="">
      <xdr:nvSpPr>
        <xdr:cNvPr id="11" name="Retângulo: Cantos Arredondados 1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Grp="1"/>
        </xdr:cNvSpPr>
      </xdr:nvSpPr>
      <xdr:spPr>
        <a:xfrm>
          <a:off x="6683034" y="1558462"/>
          <a:ext cx="3170465" cy="1259420"/>
        </a:xfrm>
        <a:prstGeom prst="round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r">
            <a:buNone/>
          </a:pPr>
          <a:endParaRPr/>
        </a:p>
      </xdr:txBody>
    </xdr:sp>
    <xdr:clientData/>
  </xdr:twoCellAnchor>
  <xdr:twoCellAnchor editAs="oneCell">
    <xdr:from>
      <xdr:col>22</xdr:col>
      <xdr:colOff>254674</xdr:colOff>
      <xdr:row>8</xdr:row>
      <xdr:rowOff>11597</xdr:rowOff>
    </xdr:from>
    <xdr:to>
      <xdr:col>27</xdr:col>
      <xdr:colOff>377139</xdr:colOff>
      <xdr:row>14</xdr:row>
      <xdr:rowOff>40642</xdr:rowOff>
    </xdr:to>
    <xdr:sp macro="" textlink="">
      <xdr:nvSpPr>
        <xdr:cNvPr id="12" name="Retângulo: Cantos Arredondados 1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Grp="1"/>
        </xdr:cNvSpPr>
      </xdr:nvSpPr>
      <xdr:spPr>
        <a:xfrm>
          <a:off x="13399174" y="1554647"/>
          <a:ext cx="3170465" cy="1248245"/>
        </a:xfrm>
        <a:prstGeom prst="round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r">
            <a:buNone/>
          </a:pPr>
          <a:endParaRPr/>
        </a:p>
      </xdr:txBody>
    </xdr:sp>
    <xdr:clientData/>
  </xdr:twoCellAnchor>
  <xdr:twoCellAnchor editAs="oneCell">
    <xdr:from>
      <xdr:col>1</xdr:col>
      <xdr:colOff>9602</xdr:colOff>
      <xdr:row>8</xdr:row>
      <xdr:rowOff>1275</xdr:rowOff>
    </xdr:from>
    <xdr:to>
      <xdr:col>5</xdr:col>
      <xdr:colOff>423420</xdr:colOff>
      <xdr:row>14</xdr:row>
      <xdr:rowOff>24408</xdr:rowOff>
    </xdr:to>
    <xdr:sp macro="" textlink="">
      <xdr:nvSpPr>
        <xdr:cNvPr id="13" name="Retângulo: Cantos Arredondados 1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Grp="1"/>
        </xdr:cNvSpPr>
      </xdr:nvSpPr>
      <xdr:spPr>
        <a:xfrm>
          <a:off x="295352" y="1544325"/>
          <a:ext cx="2852218" cy="1242333"/>
        </a:xfrm>
        <a:prstGeom prst="round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r">
            <a:buNone/>
          </a:pPr>
          <a:endParaRPr/>
        </a:p>
      </xdr:txBody>
    </xdr:sp>
    <xdr:clientData/>
  </xdr:twoCellAnchor>
  <xdr:twoCellAnchor editAs="oneCell">
    <xdr:from>
      <xdr:col>27</xdr:col>
      <xdr:colOff>565155</xdr:colOff>
      <xdr:row>8</xdr:row>
      <xdr:rowOff>17610</xdr:rowOff>
    </xdr:from>
    <xdr:to>
      <xdr:col>33</xdr:col>
      <xdr:colOff>22333</xdr:colOff>
      <xdr:row>14</xdr:row>
      <xdr:rowOff>56934</xdr:rowOff>
    </xdr:to>
    <xdr:sp macro="" textlink="">
      <xdr:nvSpPr>
        <xdr:cNvPr id="14" name="Retângulo: Cantos Arredondados 1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Grp="1"/>
        </xdr:cNvSpPr>
      </xdr:nvSpPr>
      <xdr:spPr>
        <a:xfrm>
          <a:off x="16757655" y="1560660"/>
          <a:ext cx="3171929" cy="1258524"/>
        </a:xfrm>
        <a:prstGeom prst="round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r">
            <a:buNone/>
          </a:pPr>
          <a:endParaRPr/>
        </a:p>
      </xdr:txBody>
    </xdr:sp>
    <xdr:clientData/>
  </xdr:twoCellAnchor>
  <xdr:twoCellAnchor editAs="oneCell">
    <xdr:from>
      <xdr:col>17</xdr:col>
      <xdr:colOff>367393</xdr:colOff>
      <xdr:row>34</xdr:row>
      <xdr:rowOff>81644</xdr:rowOff>
    </xdr:from>
    <xdr:to>
      <xdr:col>22</xdr:col>
      <xdr:colOff>41622</xdr:colOff>
      <xdr:row>36</xdr:row>
      <xdr:rowOff>176894</xdr:rowOff>
    </xdr:to>
    <xdr:sp macro="" textlink="">
      <xdr:nvSpPr>
        <xdr:cNvPr id="15" name="Retângulo: Cantos Arredondados 2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Grp="1"/>
        </xdr:cNvSpPr>
      </xdr:nvSpPr>
      <xdr:spPr>
        <a:xfrm>
          <a:off x="10504714" y="6721930"/>
          <a:ext cx="2803872" cy="4762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2000" b="1" i="0" u="none">
              <a:solidFill>
                <a:srgbClr val="0000CC"/>
              </a:solidFill>
              <a:latin typeface="Calibri"/>
              <a:ea typeface="Calibri"/>
              <a:cs typeface="Calibri"/>
            </a:rPr>
            <a:t>Métricas de Eficiência</a:t>
          </a:r>
          <a:endParaRPr sz="2000">
            <a:solidFill>
              <a:srgbClr val="0000CC"/>
            </a:solidFill>
          </a:endParaRPr>
        </a:p>
      </xdr:txBody>
    </xdr:sp>
    <xdr:clientData/>
  </xdr:twoCellAnchor>
  <xdr:twoCellAnchor editAs="oneCell">
    <xdr:from>
      <xdr:col>1</xdr:col>
      <xdr:colOff>415637</xdr:colOff>
      <xdr:row>16</xdr:row>
      <xdr:rowOff>138547</xdr:rowOff>
    </xdr:from>
    <xdr:to>
      <xdr:col>4</xdr:col>
      <xdr:colOff>242456</xdr:colOff>
      <xdr:row>20</xdr:row>
      <xdr:rowOff>17319</xdr:rowOff>
    </xdr:to>
    <xdr:sp macro="" textlink="">
      <xdr:nvSpPr>
        <xdr:cNvPr id="16" name="Retângulo: Cantos Arredondados 4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Grp="1"/>
        </xdr:cNvSpPr>
      </xdr:nvSpPr>
      <xdr:spPr>
        <a:xfrm>
          <a:off x="701387" y="3281797"/>
          <a:ext cx="1655619" cy="650297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2400" b="1" i="0" u="none">
              <a:solidFill>
                <a:srgbClr val="0000CC"/>
              </a:solidFill>
              <a:latin typeface="Calibri"/>
              <a:ea typeface="Calibri"/>
              <a:cs typeface="Calibri"/>
            </a:rPr>
            <a:t>Filtros</a:t>
          </a:r>
          <a:endParaRPr>
            <a:solidFill>
              <a:srgbClr val="0000CC"/>
            </a:solidFill>
          </a:endParaRPr>
        </a:p>
      </xdr:txBody>
    </xdr:sp>
    <xdr:clientData/>
  </xdr:twoCellAnchor>
  <xdr:twoCellAnchor editAs="oneCell">
    <xdr:from>
      <xdr:col>1</xdr:col>
      <xdr:colOff>321538</xdr:colOff>
      <xdr:row>40</xdr:row>
      <xdr:rowOff>134336</xdr:rowOff>
    </xdr:from>
    <xdr:to>
      <xdr:col>5</xdr:col>
      <xdr:colOff>513025</xdr:colOff>
      <xdr:row>44</xdr:row>
      <xdr:rowOff>72083</xdr:rowOff>
    </xdr:to>
    <xdr:sp macro="" textlink="">
      <xdr:nvSpPr>
        <xdr:cNvPr id="17" name="Retângulo: Cantos Arredondados 4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Grp="1"/>
        </xdr:cNvSpPr>
      </xdr:nvSpPr>
      <xdr:spPr>
        <a:xfrm>
          <a:off x="607288" y="7917622"/>
          <a:ext cx="2640773" cy="699747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800" b="1" i="0" u="none">
              <a:solidFill>
                <a:srgbClr val="0000CC"/>
              </a:solidFill>
              <a:latin typeface="Calibri"/>
              <a:ea typeface="Calibri"/>
              <a:cs typeface="Calibri"/>
            </a:rPr>
            <a:t>Resumo por Período</a:t>
          </a:r>
          <a:endParaRPr>
            <a:solidFill>
              <a:srgbClr val="0000CC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71</xdr:row>
      <xdr:rowOff>27214</xdr:rowOff>
    </xdr:from>
    <xdr:to>
      <xdr:col>33</xdr:col>
      <xdr:colOff>571500</xdr:colOff>
      <xdr:row>78</xdr:row>
      <xdr:rowOff>0</xdr:rowOff>
    </xdr:to>
    <xdr:sp macro="" textlink="">
      <xdr:nvSpPr>
        <xdr:cNvPr id="18" name="Retângulo 5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Grp="1"/>
        </xdr:cNvSpPr>
      </xdr:nvSpPr>
      <xdr:spPr>
        <a:xfrm>
          <a:off x="0" y="13716000"/>
          <a:ext cx="20628429" cy="1306286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endParaRPr/>
        </a:p>
      </xdr:txBody>
    </xdr:sp>
    <xdr:clientData/>
  </xdr:twoCellAnchor>
  <xdr:twoCellAnchor editAs="oneCell">
    <xdr:from>
      <xdr:col>17</xdr:col>
      <xdr:colOff>321654</xdr:colOff>
      <xdr:row>66</xdr:row>
      <xdr:rowOff>150166</xdr:rowOff>
    </xdr:from>
    <xdr:to>
      <xdr:col>26</xdr:col>
      <xdr:colOff>11514</xdr:colOff>
      <xdr:row>69</xdr:row>
      <xdr:rowOff>103194</xdr:rowOff>
    </xdr:to>
    <xdr:sp macro="" textlink="">
      <xdr:nvSpPr>
        <xdr:cNvPr id="19" name="Retângulo 55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Grp="1"/>
        </xdr:cNvSpPr>
      </xdr:nvSpPr>
      <xdr:spPr>
        <a:xfrm>
          <a:off x="10396173" y="12825743"/>
          <a:ext cx="5229014" cy="5245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lang="pt-BR" sz="1400" b="1">
              <a:solidFill>
                <a:sysClr val="windowText" lastClr="000000"/>
              </a:solidFill>
            </a:rPr>
            <a:t>✔ Os dados são atualizados semanalmente com operações reais.</a:t>
          </a:r>
          <a:endParaRPr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15</xdr:col>
      <xdr:colOff>559503</xdr:colOff>
      <xdr:row>63</xdr:row>
      <xdr:rowOff>131552</xdr:rowOff>
    </xdr:from>
    <xdr:to>
      <xdr:col>24</xdr:col>
      <xdr:colOff>184236</xdr:colOff>
      <xdr:row>66</xdr:row>
      <xdr:rowOff>84580</xdr:rowOff>
    </xdr:to>
    <xdr:sp macro="" textlink="">
      <xdr:nvSpPr>
        <xdr:cNvPr id="20" name="Retângulo 56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Grp="1"/>
        </xdr:cNvSpPr>
      </xdr:nvSpPr>
      <xdr:spPr>
        <a:xfrm>
          <a:off x="9417753" y="12235629"/>
          <a:ext cx="5163887" cy="5245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lang="pt-BR" sz="1400" b="1">
              <a:solidFill>
                <a:sysClr val="windowText" lastClr="000000"/>
              </a:solidFill>
            </a:rPr>
            <a:t>✔ Quilômetros percorridos: 8.867 km</a:t>
          </a:r>
          <a:endParaRPr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17</xdr:col>
      <xdr:colOff>269004</xdr:colOff>
      <xdr:row>58</xdr:row>
      <xdr:rowOff>173193</xdr:rowOff>
    </xdr:from>
    <xdr:to>
      <xdr:col>23</xdr:col>
      <xdr:colOff>559512</xdr:colOff>
      <xdr:row>61</xdr:row>
      <xdr:rowOff>126220</xdr:rowOff>
    </xdr:to>
    <xdr:sp macro="" textlink="">
      <xdr:nvSpPr>
        <xdr:cNvPr id="22" name="Retângulo 58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Grp="1"/>
        </xdr:cNvSpPr>
      </xdr:nvSpPr>
      <xdr:spPr>
        <a:xfrm>
          <a:off x="10343523" y="11324770"/>
          <a:ext cx="4005258" cy="5245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lang="pt-BR" sz="1400" b="1">
              <a:solidFill>
                <a:sysClr val="windowText" lastClr="000000"/>
              </a:solidFill>
            </a:rPr>
            <a:t>✔ O sábado é o dia mais rentável da operação.</a:t>
          </a:r>
          <a:endParaRPr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182671</xdr:colOff>
      <xdr:row>14</xdr:row>
      <xdr:rowOff>143528</xdr:rowOff>
    </xdr:from>
    <xdr:to>
      <xdr:col>6</xdr:col>
      <xdr:colOff>469726</xdr:colOff>
      <xdr:row>69</xdr:row>
      <xdr:rowOff>182671</xdr:rowOff>
    </xdr:to>
    <xdr:sp macro="" textlink="">
      <xdr:nvSpPr>
        <xdr:cNvPr id="23" name="Retângulo: Cantos Arredondados 6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Grp="1"/>
        </xdr:cNvSpPr>
      </xdr:nvSpPr>
      <xdr:spPr>
        <a:xfrm>
          <a:off x="182671" y="2922740"/>
          <a:ext cx="3640377" cy="10803698"/>
        </a:xfrm>
        <a:prstGeom prst="round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endParaRPr/>
        </a:p>
      </xdr:txBody>
    </xdr:sp>
    <xdr:clientData/>
  </xdr:twoCellAnchor>
  <xdr:twoCellAnchor editAs="oneCell">
    <xdr:from>
      <xdr:col>17</xdr:col>
      <xdr:colOff>104384</xdr:colOff>
      <xdr:row>34</xdr:row>
      <xdr:rowOff>26096</xdr:rowOff>
    </xdr:from>
    <xdr:to>
      <xdr:col>28</xdr:col>
      <xdr:colOff>363347</xdr:colOff>
      <xdr:row>57</xdr:row>
      <xdr:rowOff>27214</xdr:rowOff>
    </xdr:to>
    <xdr:sp macro="" textlink="">
      <xdr:nvSpPr>
        <xdr:cNvPr id="24" name="Retângulo: Cantos Arredondados 6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Grp="1"/>
        </xdr:cNvSpPr>
      </xdr:nvSpPr>
      <xdr:spPr>
        <a:xfrm>
          <a:off x="10241705" y="6666382"/>
          <a:ext cx="7062535" cy="4382618"/>
        </a:xfrm>
        <a:prstGeom prst="round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endParaRPr/>
        </a:p>
      </xdr:txBody>
    </xdr:sp>
    <xdr:clientData/>
  </xdr:twoCellAnchor>
  <xdr:twoCellAnchor editAs="oneCell">
    <xdr:from>
      <xdr:col>1</xdr:col>
      <xdr:colOff>51101</xdr:colOff>
      <xdr:row>8</xdr:row>
      <xdr:rowOff>121646</xdr:rowOff>
    </xdr:from>
    <xdr:to>
      <xdr:col>2</xdr:col>
      <xdr:colOff>354005</xdr:colOff>
      <xdr:row>13</xdr:row>
      <xdr:rowOff>50616</xdr:rowOff>
    </xdr:to>
    <xdr:pic>
      <xdr:nvPicPr>
        <xdr:cNvPr id="25" name="/xl/media/image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22</xdr:col>
      <xdr:colOff>467592</xdr:colOff>
      <xdr:row>8</xdr:row>
      <xdr:rowOff>190501</xdr:rowOff>
    </xdr:from>
    <xdr:to>
      <xdr:col>24</xdr:col>
      <xdr:colOff>163534</xdr:colOff>
      <xdr:row>13</xdr:row>
      <xdr:rowOff>83128</xdr:rowOff>
    </xdr:to>
    <xdr:pic>
      <xdr:nvPicPr>
        <xdr:cNvPr id="26" name="/xl/media/image5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11</xdr:col>
      <xdr:colOff>373044</xdr:colOff>
      <xdr:row>8</xdr:row>
      <xdr:rowOff>193074</xdr:rowOff>
    </xdr:from>
    <xdr:to>
      <xdr:col>13</xdr:col>
      <xdr:colOff>75171</xdr:colOff>
      <xdr:row>13</xdr:row>
      <xdr:rowOff>87574</xdr:rowOff>
    </xdr:to>
    <xdr:pic>
      <xdr:nvPicPr>
        <xdr:cNvPr id="27" name="/xl/media/image7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398793</xdr:colOff>
      <xdr:row>44</xdr:row>
      <xdr:rowOff>130242</xdr:rowOff>
    </xdr:from>
    <xdr:to>
      <xdr:col>19</xdr:col>
      <xdr:colOff>93804</xdr:colOff>
      <xdr:row>49</xdr:row>
      <xdr:rowOff>92142</xdr:rowOff>
    </xdr:to>
    <xdr:pic>
      <xdr:nvPicPr>
        <xdr:cNvPr id="28" name="/xl/media/image9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</xdr:col>
      <xdr:colOff>225136</xdr:colOff>
      <xdr:row>9</xdr:row>
      <xdr:rowOff>17318</xdr:rowOff>
    </xdr:from>
    <xdr:to>
      <xdr:col>7</xdr:col>
      <xdr:colOff>533400</xdr:colOff>
      <xdr:row>13</xdr:row>
      <xdr:rowOff>117764</xdr:rowOff>
    </xdr:to>
    <xdr:pic>
      <xdr:nvPicPr>
        <xdr:cNvPr id="29" name="/xl/media/image11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28</xdr:col>
      <xdr:colOff>86590</xdr:colOff>
      <xdr:row>9</xdr:row>
      <xdr:rowOff>17317</xdr:rowOff>
    </xdr:from>
    <xdr:to>
      <xdr:col>29</xdr:col>
      <xdr:colOff>536862</xdr:colOff>
      <xdr:row>14</xdr:row>
      <xdr:rowOff>86590</xdr:rowOff>
    </xdr:to>
    <xdr:pic>
      <xdr:nvPicPr>
        <xdr:cNvPr id="30" name="/xl/media/image13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23</xdr:col>
      <xdr:colOff>346363</xdr:colOff>
      <xdr:row>51</xdr:row>
      <xdr:rowOff>155863</xdr:rowOff>
    </xdr:from>
    <xdr:to>
      <xdr:col>25</xdr:col>
      <xdr:colOff>48491</xdr:colOff>
      <xdr:row>56</xdr:row>
      <xdr:rowOff>117763</xdr:rowOff>
    </xdr:to>
    <xdr:pic>
      <xdr:nvPicPr>
        <xdr:cNvPr id="31" name="/xl/media/image15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424177</xdr:colOff>
      <xdr:row>51</xdr:row>
      <xdr:rowOff>112686</xdr:rowOff>
    </xdr:from>
    <xdr:to>
      <xdr:col>19</xdr:col>
      <xdr:colOff>126305</xdr:colOff>
      <xdr:row>56</xdr:row>
      <xdr:rowOff>74586</xdr:rowOff>
    </xdr:to>
    <xdr:pic>
      <xdr:nvPicPr>
        <xdr:cNvPr id="32" name="/xl/media/image17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246962</xdr:colOff>
      <xdr:row>37</xdr:row>
      <xdr:rowOff>173182</xdr:rowOff>
    </xdr:from>
    <xdr:to>
      <xdr:col>18</xdr:col>
      <xdr:colOff>555226</xdr:colOff>
      <xdr:row>42</xdr:row>
      <xdr:rowOff>135082</xdr:rowOff>
    </xdr:to>
    <xdr:pic>
      <xdr:nvPicPr>
        <xdr:cNvPr id="33" name="/xl/media/image19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23</xdr:col>
      <xdr:colOff>294408</xdr:colOff>
      <xdr:row>44</xdr:row>
      <xdr:rowOff>138546</xdr:rowOff>
    </xdr:from>
    <xdr:to>
      <xdr:col>24</xdr:col>
      <xdr:colOff>602673</xdr:colOff>
      <xdr:row>49</xdr:row>
      <xdr:rowOff>100446</xdr:rowOff>
    </xdr:to>
    <xdr:pic>
      <xdr:nvPicPr>
        <xdr:cNvPr id="34" name="/xl/media/image21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23</xdr:col>
      <xdr:colOff>294171</xdr:colOff>
      <xdr:row>37</xdr:row>
      <xdr:rowOff>120989</xdr:rowOff>
    </xdr:from>
    <xdr:to>
      <xdr:col>25</xdr:col>
      <xdr:colOff>4435</xdr:colOff>
      <xdr:row>42</xdr:row>
      <xdr:rowOff>82889</xdr:rowOff>
    </xdr:to>
    <xdr:pic>
      <xdr:nvPicPr>
        <xdr:cNvPr id="35" name="/xl/media/image23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17</xdr:col>
      <xdr:colOff>340499</xdr:colOff>
      <xdr:row>8</xdr:row>
      <xdr:rowOff>201955</xdr:rowOff>
    </xdr:from>
    <xdr:to>
      <xdr:col>19</xdr:col>
      <xdr:colOff>42627</xdr:colOff>
      <xdr:row>13</xdr:row>
      <xdr:rowOff>94582</xdr:rowOff>
    </xdr:to>
    <xdr:pic>
      <xdr:nvPicPr>
        <xdr:cNvPr id="36" name="/xl/media/image25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311727</xdr:colOff>
      <xdr:row>16</xdr:row>
      <xdr:rowOff>155863</xdr:rowOff>
    </xdr:from>
    <xdr:to>
      <xdr:col>2</xdr:col>
      <xdr:colOff>242456</xdr:colOff>
      <xdr:row>19</xdr:row>
      <xdr:rowOff>103909</xdr:rowOff>
    </xdr:to>
    <xdr:pic>
      <xdr:nvPicPr>
        <xdr:cNvPr id="37" name="/xl/media/image27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167331</xdr:rowOff>
    </xdr:from>
    <xdr:to>
      <xdr:col>2</xdr:col>
      <xdr:colOff>129231</xdr:colOff>
      <xdr:row>47</xdr:row>
      <xdr:rowOff>129231</xdr:rowOff>
    </xdr:to>
    <xdr:pic>
      <xdr:nvPicPr>
        <xdr:cNvPr id="38" name="/xl/media/image29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218816</xdr:colOff>
      <xdr:row>49</xdr:row>
      <xdr:rowOff>167329</xdr:rowOff>
    </xdr:from>
    <xdr:to>
      <xdr:col>2</xdr:col>
      <xdr:colOff>103487</xdr:colOff>
      <xdr:row>53</xdr:row>
      <xdr:rowOff>167844</xdr:rowOff>
    </xdr:to>
    <xdr:pic>
      <xdr:nvPicPr>
        <xdr:cNvPr id="39" name="/xl/media/image31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270304</xdr:colOff>
      <xdr:row>55</xdr:row>
      <xdr:rowOff>77231</xdr:rowOff>
    </xdr:from>
    <xdr:to>
      <xdr:col>2</xdr:col>
      <xdr:colOff>167330</xdr:colOff>
      <xdr:row>59</xdr:row>
      <xdr:rowOff>90101</xdr:rowOff>
    </xdr:to>
    <xdr:pic>
      <xdr:nvPicPr>
        <xdr:cNvPr id="40" name="/xl/media/image13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38614</xdr:colOff>
      <xdr:row>62</xdr:row>
      <xdr:rowOff>13386</xdr:rowOff>
    </xdr:from>
    <xdr:to>
      <xdr:col>2</xdr:col>
      <xdr:colOff>115844</xdr:colOff>
      <xdr:row>65</xdr:row>
      <xdr:rowOff>116359</xdr:rowOff>
    </xdr:to>
    <xdr:pic>
      <xdr:nvPicPr>
        <xdr:cNvPr id="41" name="/xl/media/image33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25</xdr:col>
      <xdr:colOff>489856</xdr:colOff>
      <xdr:row>15</xdr:row>
      <xdr:rowOff>122466</xdr:rowOff>
    </xdr:from>
    <xdr:to>
      <xdr:col>33</xdr:col>
      <xdr:colOff>108856</xdr:colOff>
      <xdr:row>32</xdr:row>
      <xdr:rowOff>130630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C1B5BA7F-72E7-4E07-BADB-142E41D95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-1</xdr:colOff>
      <xdr:row>50</xdr:row>
      <xdr:rowOff>163285</xdr:rowOff>
    </xdr:from>
    <xdr:to>
      <xdr:col>17</xdr:col>
      <xdr:colOff>40822</xdr:colOff>
      <xdr:row>69</xdr:row>
      <xdr:rowOff>81642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AFB7691D-DB0A-4215-8A48-70231D8C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517072</xdr:colOff>
      <xdr:row>33</xdr:row>
      <xdr:rowOff>-1</xdr:rowOff>
    </xdr:from>
    <xdr:to>
      <xdr:col>17</xdr:col>
      <xdr:colOff>95249</xdr:colOff>
      <xdr:row>50</xdr:row>
      <xdr:rowOff>95250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C6D28B01-81ED-4436-990D-DDC364694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</xdr:col>
      <xdr:colOff>517072</xdr:colOff>
      <xdr:row>14</xdr:row>
      <xdr:rowOff>122465</xdr:rowOff>
    </xdr:from>
    <xdr:to>
      <xdr:col>17</xdr:col>
      <xdr:colOff>0</xdr:colOff>
      <xdr:row>32</xdr:row>
      <xdr:rowOff>149678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762D7E8C-5BC0-4A72-9CD0-B21FC662F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16</xdr:col>
      <xdr:colOff>612320</xdr:colOff>
      <xdr:row>15</xdr:row>
      <xdr:rowOff>13606</xdr:rowOff>
    </xdr:from>
    <xdr:to>
      <xdr:col>25</xdr:col>
      <xdr:colOff>544285</xdr:colOff>
      <xdr:row>33</xdr:row>
      <xdr:rowOff>68035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20AEFF23-B153-4B8B-B41D-6A0CA85DF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</xdr:col>
      <xdr:colOff>244926</xdr:colOff>
      <xdr:row>19</xdr:row>
      <xdr:rowOff>0</xdr:rowOff>
    </xdr:from>
    <xdr:to>
      <xdr:col>6</xdr:col>
      <xdr:colOff>70357</xdr:colOff>
      <xdr:row>29</xdr:row>
      <xdr:rowOff>68035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ata">
              <a:extLst>
                <a:ext uri="{FF2B5EF4-FFF2-40B4-BE49-F238E27FC236}">
                  <a16:creationId xmlns:a16="http://schemas.microsoft.com/office/drawing/2014/main" id="{8B9C4D24-F9D1-4AB7-B1A9-49F1D71B03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676" y="3825486"/>
              <a:ext cx="2887038" cy="18140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247262</xdr:colOff>
      <xdr:row>30</xdr:row>
      <xdr:rowOff>40821</xdr:rowOff>
    </xdr:from>
    <xdr:to>
      <xdr:col>6</xdr:col>
      <xdr:colOff>72693</xdr:colOff>
      <xdr:row>37</xdr:row>
      <xdr:rowOff>13811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 ">
              <a:extLst>
                <a:ext uri="{FF2B5EF4-FFF2-40B4-BE49-F238E27FC236}">
                  <a16:creationId xmlns:a16="http://schemas.microsoft.com/office/drawing/2014/main" id="{363850B1-E411-4A49-9B61-419F52A5E55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012" y="5677597"/>
              <a:ext cx="2887038" cy="15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256190</xdr:colOff>
      <xdr:row>37</xdr:row>
      <xdr:rowOff>72931</xdr:rowOff>
    </xdr:from>
    <xdr:to>
      <xdr:col>6</xdr:col>
      <xdr:colOff>81621</xdr:colOff>
      <xdr:row>41</xdr:row>
      <xdr:rowOff>81643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plicativo">
              <a:extLst>
                <a:ext uri="{FF2B5EF4-FFF2-40B4-BE49-F238E27FC236}">
                  <a16:creationId xmlns:a16="http://schemas.microsoft.com/office/drawing/2014/main" id="{6B61FEE5-DCBE-4241-BAC7-1F7AD632D0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plicativ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940" y="7284717"/>
              <a:ext cx="2887038" cy="7707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184348</xdr:colOff>
      <xdr:row>57</xdr:row>
      <xdr:rowOff>40822</xdr:rowOff>
    </xdr:from>
    <xdr:to>
      <xdr:col>21</xdr:col>
      <xdr:colOff>484451</xdr:colOff>
      <xdr:row>59</xdr:row>
      <xdr:rowOff>184349</xdr:rowOff>
    </xdr:to>
    <xdr:sp macro="" textlink="">
      <xdr:nvSpPr>
        <xdr:cNvPr id="6" name="Retângulo 57">
          <a:extLst>
            <a:ext uri="{FF2B5EF4-FFF2-40B4-BE49-F238E27FC236}">
              <a16:creationId xmlns:a16="http://schemas.microsoft.com/office/drawing/2014/main" id="{572A1B57-437C-CFB7-76F1-64C4878FB4D3}"/>
            </a:ext>
          </a:extLst>
        </xdr:cNvPr>
        <xdr:cNvSpPr>
          <a:spLocks noGrp="1"/>
        </xdr:cNvSpPr>
      </xdr:nvSpPr>
      <xdr:spPr>
        <a:xfrm>
          <a:off x="10321669" y="11062608"/>
          <a:ext cx="2749389" cy="52452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sz="1800" b="1" i="0" u="none">
              <a:solidFill>
                <a:srgbClr val="0000CC"/>
              </a:solidFill>
              <a:latin typeface="Calibri"/>
              <a:ea typeface="Calibri"/>
              <a:cs typeface="Calibri"/>
            </a:rPr>
            <a:t>INSIGHTS PRINCIPAIS</a:t>
          </a:r>
          <a:endParaRPr sz="1800">
            <a:solidFill>
              <a:srgbClr val="0000CC"/>
            </a:solidFill>
          </a:endParaRPr>
        </a:p>
      </xdr:txBody>
    </xdr:sp>
    <xdr:clientData/>
  </xdr:twoCellAnchor>
  <xdr:twoCellAnchor editAs="oneCell">
    <xdr:from>
      <xdr:col>17</xdr:col>
      <xdr:colOff>145204</xdr:colOff>
      <xdr:row>57</xdr:row>
      <xdr:rowOff>119108</xdr:rowOff>
    </xdr:from>
    <xdr:to>
      <xdr:col>17</xdr:col>
      <xdr:colOff>562739</xdr:colOff>
      <xdr:row>59</xdr:row>
      <xdr:rowOff>145205</xdr:rowOff>
    </xdr:to>
    <xdr:pic>
      <xdr:nvPicPr>
        <xdr:cNvPr id="48" name="/xl/media/image35.png">
          <a:extLst>
            <a:ext uri="{FF2B5EF4-FFF2-40B4-BE49-F238E27FC236}">
              <a16:creationId xmlns:a16="http://schemas.microsoft.com/office/drawing/2014/main" id="{C4D384C9-D193-BA22-558A-68F66C3E5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282525" y="11140894"/>
          <a:ext cx="417535" cy="407097"/>
        </a:xfrm>
        <a:prstGeom prst="rect">
          <a:avLst/>
        </a:prstGeom>
      </xdr:spPr>
    </xdr:pic>
    <xdr:clientData/>
  </xdr:twoCellAnchor>
  <xdr:twoCellAnchor editAs="oneCell">
    <xdr:from>
      <xdr:col>1</xdr:col>
      <xdr:colOff>421822</xdr:colOff>
      <xdr:row>3</xdr:row>
      <xdr:rowOff>13607</xdr:rowOff>
    </xdr:from>
    <xdr:to>
      <xdr:col>17</xdr:col>
      <xdr:colOff>136073</xdr:colOff>
      <xdr:row>7</xdr:row>
      <xdr:rowOff>27214</xdr:rowOff>
    </xdr:to>
    <xdr:sp macro="" textlink="">
      <xdr:nvSpPr>
        <xdr:cNvPr id="49" name="Retângulo 55">
          <a:extLst>
            <a:ext uri="{FF2B5EF4-FFF2-40B4-BE49-F238E27FC236}">
              <a16:creationId xmlns:a16="http://schemas.microsoft.com/office/drawing/2014/main" id="{A4A0ABCC-7794-47FA-9A3C-CA079D62CAFC}"/>
            </a:ext>
          </a:extLst>
        </xdr:cNvPr>
        <xdr:cNvSpPr>
          <a:spLocks noGrp="1"/>
        </xdr:cNvSpPr>
      </xdr:nvSpPr>
      <xdr:spPr>
        <a:xfrm>
          <a:off x="707572" y="585107"/>
          <a:ext cx="9565822" cy="7892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lang="pt-BR" sz="1400" b="1">
              <a:solidFill>
                <a:schemeClr val="bg1"/>
              </a:solidFill>
            </a:rPr>
            <a:t>Os dados apresentados neste dashboard são provenientes de operações reais e são atualizados semanalmente.</a:t>
          </a:r>
          <a:endParaRPr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217715</xdr:colOff>
      <xdr:row>73</xdr:row>
      <xdr:rowOff>95250</xdr:rowOff>
    </xdr:from>
    <xdr:to>
      <xdr:col>34</xdr:col>
      <xdr:colOff>408215</xdr:colOff>
      <xdr:row>75</xdr:row>
      <xdr:rowOff>136071</xdr:rowOff>
    </xdr:to>
    <xdr:sp macro="" textlink="">
      <xdr:nvSpPr>
        <xdr:cNvPr id="50" name="Retângulo 55">
          <a:extLst>
            <a:ext uri="{FF2B5EF4-FFF2-40B4-BE49-F238E27FC236}">
              <a16:creationId xmlns:a16="http://schemas.microsoft.com/office/drawing/2014/main" id="{2E2969FF-AE58-4202-A90A-3B264453FBD2}"/>
            </a:ext>
          </a:extLst>
        </xdr:cNvPr>
        <xdr:cNvSpPr>
          <a:spLocks noGrp="1"/>
        </xdr:cNvSpPr>
      </xdr:nvSpPr>
      <xdr:spPr>
        <a:xfrm>
          <a:off x="217715" y="14165036"/>
          <a:ext cx="20859750" cy="4218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lang="pt-BR" sz="1600" b="1">
              <a:solidFill>
                <a:schemeClr val="bg1"/>
              </a:solidFill>
            </a:rPr>
            <a:t>Monitorar indicadores financeiros e operacionais de motoristas de aplicativo, permitindo monitorar faturamento, custos, lucratividade, produtividade e eficiência operacional por meio de métricas e visualizações interativas.</a:t>
          </a:r>
          <a:endParaRPr sz="16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68</xdr:row>
      <xdr:rowOff>176893</xdr:rowOff>
    </xdr:from>
    <xdr:to>
      <xdr:col>5</xdr:col>
      <xdr:colOff>394607</xdr:colOff>
      <xdr:row>75</xdr:row>
      <xdr:rowOff>176893</xdr:rowOff>
    </xdr:to>
    <xdr:sp macro="" textlink="">
      <xdr:nvSpPr>
        <xdr:cNvPr id="51" name="Retângulo 55">
          <a:extLst>
            <a:ext uri="{FF2B5EF4-FFF2-40B4-BE49-F238E27FC236}">
              <a16:creationId xmlns:a16="http://schemas.microsoft.com/office/drawing/2014/main" id="{B93D7F5D-A289-4038-8BA8-C0643BCDCD47}"/>
            </a:ext>
          </a:extLst>
        </xdr:cNvPr>
        <xdr:cNvSpPr>
          <a:spLocks noGrp="1"/>
        </xdr:cNvSpPr>
      </xdr:nvSpPr>
      <xdr:spPr>
        <a:xfrm>
          <a:off x="0" y="13294179"/>
          <a:ext cx="3129643" cy="1333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lang="pt-BR" sz="2000" b="1"/>
            <a:t>Objetivo do Dashboard</a:t>
          </a:r>
          <a:endParaRPr sz="20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16</xdr:col>
      <xdr:colOff>340542</xdr:colOff>
      <xdr:row>62</xdr:row>
      <xdr:rowOff>19115</xdr:rowOff>
    </xdr:from>
    <xdr:to>
      <xdr:col>24</xdr:col>
      <xdr:colOff>568632</xdr:colOff>
      <xdr:row>64</xdr:row>
      <xdr:rowOff>162643</xdr:rowOff>
    </xdr:to>
    <xdr:sp macro="" textlink="">
      <xdr:nvSpPr>
        <xdr:cNvPr id="54" name="Retângulo 56">
          <a:extLst>
            <a:ext uri="{FF2B5EF4-FFF2-40B4-BE49-F238E27FC236}">
              <a16:creationId xmlns:a16="http://schemas.microsoft.com/office/drawing/2014/main" id="{DD4B6037-AE2E-45CF-8610-A3A4402AF6CC}"/>
            </a:ext>
          </a:extLst>
        </xdr:cNvPr>
        <xdr:cNvSpPr>
          <a:spLocks noGrp="1"/>
        </xdr:cNvSpPr>
      </xdr:nvSpPr>
      <xdr:spPr>
        <a:xfrm>
          <a:off x="9882107" y="11946072"/>
          <a:ext cx="5197655" cy="5245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lang="pt-BR" sz="1400" b="1">
              <a:solidFill>
                <a:sysClr val="windowText" lastClr="000000"/>
              </a:solidFill>
            </a:rPr>
            <a:t>✔ Receita total acumulada superior a R$ 11 mil.</a:t>
          </a:r>
          <a:endParaRPr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17</xdr:col>
      <xdr:colOff>195279</xdr:colOff>
      <xdr:row>65</xdr:row>
      <xdr:rowOff>46829</xdr:rowOff>
    </xdr:from>
    <xdr:to>
      <xdr:col>25</xdr:col>
      <xdr:colOff>428147</xdr:colOff>
      <xdr:row>67</xdr:row>
      <xdr:rowOff>190357</xdr:rowOff>
    </xdr:to>
    <xdr:sp macro="" textlink="">
      <xdr:nvSpPr>
        <xdr:cNvPr id="55" name="Retângulo 56">
          <a:extLst>
            <a:ext uri="{FF2B5EF4-FFF2-40B4-BE49-F238E27FC236}">
              <a16:creationId xmlns:a16="http://schemas.microsoft.com/office/drawing/2014/main" id="{35140D86-D203-4CCE-8666-2A8779682D91}"/>
            </a:ext>
          </a:extLst>
        </xdr:cNvPr>
        <xdr:cNvSpPr>
          <a:spLocks noGrp="1"/>
        </xdr:cNvSpPr>
      </xdr:nvSpPr>
      <xdr:spPr>
        <a:xfrm>
          <a:off x="10269798" y="12531906"/>
          <a:ext cx="5163887" cy="5245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lang="pt-BR" sz="1400" b="1">
              <a:solidFill>
                <a:sysClr val="windowText" lastClr="000000"/>
              </a:solidFill>
            </a:rPr>
            <a:t>✔ Dashboard desenvolvido para apoio à tomada de decisão.</a:t>
          </a:r>
          <a:endParaRPr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16</xdr:col>
      <xdr:colOff>290655</xdr:colOff>
      <xdr:row>60</xdr:row>
      <xdr:rowOff>86776</xdr:rowOff>
    </xdr:from>
    <xdr:to>
      <xdr:col>24</xdr:col>
      <xdr:colOff>523523</xdr:colOff>
      <xdr:row>63</xdr:row>
      <xdr:rowOff>39804</xdr:rowOff>
    </xdr:to>
    <xdr:sp macro="" textlink="">
      <xdr:nvSpPr>
        <xdr:cNvPr id="56" name="Retângulo 56">
          <a:extLst>
            <a:ext uri="{FF2B5EF4-FFF2-40B4-BE49-F238E27FC236}">
              <a16:creationId xmlns:a16="http://schemas.microsoft.com/office/drawing/2014/main" id="{BBA26B17-2A62-4656-B556-7AE7CA202CD8}"/>
            </a:ext>
          </a:extLst>
        </xdr:cNvPr>
        <xdr:cNvSpPr>
          <a:spLocks noGrp="1"/>
        </xdr:cNvSpPr>
      </xdr:nvSpPr>
      <xdr:spPr>
        <a:xfrm>
          <a:off x="9832220" y="11632733"/>
          <a:ext cx="5202433" cy="5245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lang="pt-BR" sz="1400" b="1">
              <a:solidFill>
                <a:sysClr val="windowText" lastClr="000000"/>
              </a:solidFill>
            </a:rPr>
            <a:t>✔ Lucro líquido acumulado superior a R$ 5 mil.</a:t>
          </a:r>
          <a:endParaRPr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16</xdr:col>
      <xdr:colOff>469332</xdr:colOff>
      <xdr:row>68</xdr:row>
      <xdr:rowOff>74317</xdr:rowOff>
    </xdr:from>
    <xdr:to>
      <xdr:col>29</xdr:col>
      <xdr:colOff>523760</xdr:colOff>
      <xdr:row>71</xdr:row>
      <xdr:rowOff>27345</xdr:rowOff>
    </xdr:to>
    <xdr:sp macro="" textlink="">
      <xdr:nvSpPr>
        <xdr:cNvPr id="57" name="Retângulo 56">
          <a:extLst>
            <a:ext uri="{FF2B5EF4-FFF2-40B4-BE49-F238E27FC236}">
              <a16:creationId xmlns:a16="http://schemas.microsoft.com/office/drawing/2014/main" id="{4A8B9503-B4C4-4A39-95BF-E79D5FDDC9FE}"/>
            </a:ext>
          </a:extLst>
        </xdr:cNvPr>
        <xdr:cNvSpPr>
          <a:spLocks noGrp="1"/>
        </xdr:cNvSpPr>
      </xdr:nvSpPr>
      <xdr:spPr>
        <a:xfrm>
          <a:off x="10010897" y="13144274"/>
          <a:ext cx="8088559" cy="5245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ctr">
            <a:buNone/>
          </a:pPr>
          <a:r>
            <a:rPr lang="pt-BR" sz="1400" b="1">
              <a:solidFill>
                <a:sysClr val="windowText" lastClr="000000"/>
              </a:solidFill>
            </a:rPr>
            <a:t>✔ A operação manteve rentabilidade positiva durante a maior parte do período analisado.</a:t>
          </a:r>
          <a:endParaRPr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217715</xdr:colOff>
      <xdr:row>1</xdr:row>
      <xdr:rowOff>13607</xdr:rowOff>
    </xdr:from>
    <xdr:to>
      <xdr:col>2</xdr:col>
      <xdr:colOff>234044</xdr:colOff>
      <xdr:row>5</xdr:row>
      <xdr:rowOff>166007</xdr:rowOff>
    </xdr:to>
    <xdr:pic>
      <xdr:nvPicPr>
        <xdr:cNvPr id="61" name="Gráfico 60" descr="Táxi com preenchimento sólido">
          <a:extLst>
            <a:ext uri="{FF2B5EF4-FFF2-40B4-BE49-F238E27FC236}">
              <a16:creationId xmlns:a16="http://schemas.microsoft.com/office/drawing/2014/main" id="{1E7EB8D0-10A7-AD93-C9D7-D796BB7B5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217715" y="20410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1</xdr:rowOff>
    </xdr:from>
    <xdr:to>
      <xdr:col>2</xdr:col>
      <xdr:colOff>462644</xdr:colOff>
      <xdr:row>7</xdr:row>
      <xdr:rowOff>13608</xdr:rowOff>
    </xdr:to>
    <xdr:pic>
      <xdr:nvPicPr>
        <xdr:cNvPr id="63" name="Gráfico 62" descr="Círculos 100% destaque">
          <a:extLst>
            <a:ext uri="{FF2B5EF4-FFF2-40B4-BE49-F238E27FC236}">
              <a16:creationId xmlns:a16="http://schemas.microsoft.com/office/drawing/2014/main" id="{4476CF48-DE6C-1C04-4B14-909E97136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1" y="1"/>
          <a:ext cx="1360714" cy="1360714"/>
        </a:xfrm>
        <a:prstGeom prst="rect">
          <a:avLst/>
        </a:prstGeom>
      </xdr:spPr>
    </xdr:pic>
    <xdr:clientData/>
  </xdr:twoCellAnchor>
  <xdr:twoCellAnchor editAs="oneCell">
    <xdr:from>
      <xdr:col>10</xdr:col>
      <xdr:colOff>136071</xdr:colOff>
      <xdr:row>75</xdr:row>
      <xdr:rowOff>68035</xdr:rowOff>
    </xdr:from>
    <xdr:to>
      <xdr:col>22</xdr:col>
      <xdr:colOff>503464</xdr:colOff>
      <xdr:row>77</xdr:row>
      <xdr:rowOff>108856</xdr:rowOff>
    </xdr:to>
    <xdr:sp macro="" textlink="">
      <xdr:nvSpPr>
        <xdr:cNvPr id="21" name="Retângulo 55">
          <a:extLst>
            <a:ext uri="{FF2B5EF4-FFF2-40B4-BE49-F238E27FC236}">
              <a16:creationId xmlns:a16="http://schemas.microsoft.com/office/drawing/2014/main" id="{1B43AAFC-C2FF-4A34-A384-69623A860C90}"/>
            </a:ext>
          </a:extLst>
        </xdr:cNvPr>
        <xdr:cNvSpPr>
          <a:spLocks noGrp="1"/>
        </xdr:cNvSpPr>
      </xdr:nvSpPr>
      <xdr:spPr>
        <a:xfrm>
          <a:off x="5932714" y="14518821"/>
          <a:ext cx="7837714" cy="4218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lang="pt-BR" sz="1600" b="1">
              <a:solidFill>
                <a:schemeClr val="bg1"/>
              </a:solidFill>
            </a:rPr>
            <a:t>Desenvolvido por Marcelo Gomes Atualizado semanalmente com dados reais Versão 1.0</a:t>
          </a:r>
          <a:endParaRPr sz="16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elo Gomes" refreshedDate="46222.942804398146" backgroundQuery="1" createdVersion="8" refreshedVersion="8" minRefreshableVersion="3" recordCount="0" supportSubquery="1" supportAdvancedDrill="1" xr:uid="{E6F105FD-B1CC-4076-893E-412B706038DB}">
  <cacheSource type="external" connectionId="1"/>
  <cacheFields count="1">
    <cacheField name="[Measures].[Contagem Distinta de Data]" caption="Contagem Distinta de Data" numFmtId="0" hierarchy="29" level="32767"/>
  </cacheFields>
  <cacheHierarchies count="30">
    <cacheHierarchy uniqueName="[Tabela1].[Data]" caption="Data" attribute="1" time="1" defaultMemberUniqueName="[Tabela1].[Data].[All]" allUniqueName="[Tabela1].[Data].[All]" dimensionUniqueName="[Tabela1]" displayFolder="" count="0" memberValueDatatype="7" unbalanced="0"/>
    <cacheHierarchy uniqueName="[Tabela1].[Dia]" caption="Dia" attribute="1" defaultMemberUniqueName="[Tabela1].[Dia].[All]" allUniqueName="[Tabela1].[Dia].[All]" dimensionUniqueName="[Tabela1]" displayFolder="" count="0" memberValueDatatype="130" unbalanced="0"/>
    <cacheHierarchy uniqueName="[Tabela1].[Mês]" caption="Mês" attribute="1" defaultMemberUniqueName="[Tabela1].[Mês].[All]" allUniqueName="[Tabela1].[Mês].[All]" dimensionUniqueName="[Tabela1]" displayFolder="" count="0" memberValueDatatype="130" unbalanced="0"/>
    <cacheHierarchy uniqueName="[Tabela1].[ANO]" caption="ANO" attribute="1" defaultMemberUniqueName="[Tabela1].[ANO].[All]" allUniqueName="[Tabela1].[ANO].[All]" dimensionUniqueName="[Tabela1]" displayFolder="" count="0" memberValueDatatype="20" unbalanced="0"/>
    <cacheHierarchy uniqueName="[Tabela1].[Semana]" caption="Semana" attribute="1" defaultMemberUniqueName="[Tabela1].[Semana].[All]" allUniqueName="[Tabela1].[Semana].[All]" dimensionUniqueName="[Tabela1]" displayFolder="" count="0" memberValueDatatype="130" unbalanced="0"/>
    <cacheHierarchy uniqueName="[Tabela1].[Semana ano]" caption="Semana ano" attribute="1" defaultMemberUniqueName="[Tabela1].[Semana ano].[All]" allUniqueName="[Tabela1].[Semana ano].[All]" dimensionUniqueName="[Tabela1]" displayFolder="" count="0" memberValueDatatype="20" unbalanced="0"/>
    <cacheHierarchy uniqueName="[Tabela1].[Tipo dia]" caption="Tipo dia" attribute="1" defaultMemberUniqueName="[Tabela1].[Tipo dia].[All]" allUniqueName="[Tabela1].[Tipo dia].[All]" dimensionUniqueName="[Tabela1]" displayFolder="" count="0" memberValueDatatype="130" unbalanced="0"/>
    <cacheHierarchy uniqueName="[Tabela1].[Aplicativo]" caption="Aplicativo" attribute="1" defaultMemberUniqueName="[Tabela1].[Aplicativo].[All]" allUniqueName="[Tabela1].[Aplicativo].[All]" dimensionUniqueName="[Tabela1]" displayFolder="" count="0" memberValueDatatype="130" unbalanced="0"/>
    <cacheHierarchy uniqueName="[Tabela1].[Corrida]" caption="Corrida" attribute="1" defaultMemberUniqueName="[Tabela1].[Corrida].[All]" allUniqueName="[Tabela1].[Corrida].[All]" dimensionUniqueName="[Tabela1]" displayFolder="" count="0" memberValueDatatype="20" unbalanced="0"/>
    <cacheHierarchy uniqueName="[Tabela1].[Km]" caption="Km" attribute="1" defaultMemberUniqueName="[Tabela1].[Km].[All]" allUniqueName="[Tabela1].[Km].[All]" dimensionUniqueName="[Tabela1]" displayFolder="" count="0" memberValueDatatype="5" unbalanced="0"/>
    <cacheHierarchy uniqueName="[Tabela1].[Horas]" caption="Horas" attribute="1" defaultMemberUniqueName="[Tabela1].[Horas].[All]" allUniqueName="[Tabela1].[Horas].[All]" dimensionUniqueName="[Tabela1]" displayFolder="" count="0" memberValueDatatype="20" unbalanced="0"/>
    <cacheHierarchy uniqueName="[Tabela1].[Valor]" caption="Valor" attribute="1" defaultMemberUniqueName="[Tabela1].[Valor].[All]" allUniqueName="[Tabela1].[Valor].[All]" dimensionUniqueName="[Tabela1]" displayFolder="" count="0" memberValueDatatype="5" unbalanced="0"/>
    <cacheHierarchy uniqueName="[Tabela1].[Receita]" caption="Receita" attribute="1" defaultMemberUniqueName="[Tabela1].[Receita].[All]" allUniqueName="[Tabela1].[Receita].[All]" dimensionUniqueName="[Tabela1]" displayFolder="" count="0" memberValueDatatype="5" unbalanced="0"/>
    <cacheHierarchy uniqueName="[Tabela1].[Combustível]" caption="Combustível" attribute="1" defaultMemberUniqueName="[Tabela1].[Combustível].[All]" allUniqueName="[Tabela1].[Combustível].[All]" dimensionUniqueName="[Tabela1]" displayFolder="" count="0" memberValueDatatype="5" unbalanced="0"/>
    <cacheHierarchy uniqueName="[Tabela1].[Litros]" caption="Litros" attribute="1" defaultMemberUniqueName="[Tabela1].[Litros].[All]" allUniqueName="[Tabela1].[Litros].[All]" dimensionUniqueName="[Tabela1]" displayFolder="" count="0" memberValueDatatype="5" unbalanced="0"/>
    <cacheHierarchy uniqueName="[Tabela1].[Tipo Combustivel]" caption="Tipo Combustivel" attribute="1" defaultMemberUniqueName="[Tabela1].[Tipo Combustivel].[All]" allUniqueName="[Tabela1].[Tipo Combustivel].[All]" dimensionUniqueName="[Tabela1]" displayFolder="" count="0" memberValueDatatype="130" unbalanced="0"/>
    <cacheHierarchy uniqueName="[Tabela1].[Alimentação]" caption="Alimentação" attribute="1" defaultMemberUniqueName="[Tabela1].[Alimentação].[All]" allUniqueName="[Tabela1].[Alimentação].[All]" dimensionUniqueName="[Tabela1]" displayFolder="" count="0" memberValueDatatype="5" unbalanced="0"/>
    <cacheHierarchy uniqueName="[Tabela1].[Manutenção]" caption="Manutenção" attribute="1" defaultMemberUniqueName="[Tabela1].[Manutenção].[All]" allUniqueName="[Tabela1].[Manutenção].[All]" dimensionUniqueName="[Tabela1]" displayFolder="" count="0" memberValueDatatype="5" unbalanced="0"/>
    <cacheHierarchy uniqueName="[Tabela1].[Lucro Líquido]" caption="Lucro Líquido" attribute="1" defaultMemberUniqueName="[Tabela1].[Lucro Líquido].[All]" allUniqueName="[Tabela1].[Lucro Líquido].[All]" dimensionUniqueName="[Tabela1]" displayFolder="" count="0" memberValueDatatype="5" unbalanced="0"/>
    <cacheHierarchy uniqueName="[Tabela1].[Km/L]" caption="Km/L" attribute="1" defaultMemberUniqueName="[Tabela1].[Km/L].[All]" allUniqueName="[Tabela1].[Km/L].[All]" dimensionUniqueName="[Tabela1]" displayFolder="" count="0" memberValueDatatype="5" unbalanced="0"/>
    <cacheHierarchy uniqueName="[Tabela1].[Ganho por horas]" caption="Ganho por horas" attribute="1" defaultMemberUniqueName="[Tabela1].[Ganho por horas].[All]" allUniqueName="[Tabela1].[Ganho por horas].[All]" dimensionUniqueName="[Tabela1]" displayFolder="" count="0" memberValueDatatype="5" unbalanced="0"/>
    <cacheHierarchy uniqueName="[Tabela1].[Ganho por km]" caption="Ganho por km" attribute="1" defaultMemberUniqueName="[Tabela1].[Ganho por km].[All]" allUniqueName="[Tabela1].[Ganho por km].[All]" dimensionUniqueName="[Tabela1]" displayFolder="" count="0" memberValueDatatype="5" unbalanced="0"/>
    <cacheHierarchy uniqueName="[Tabela1].[Valor Medio Corrida]" caption="Valor Medio Corrida" attribute="1" defaultMemberUniqueName="[Tabela1].[Valor Medio Corrida].[All]" allUniqueName="[Tabela1].[Valor Medio Corrida].[All]" dimensionUniqueName="[Tabela1]" displayFolder="" count="0" memberValueDatatype="5" unbalanced="0"/>
    <cacheHierarchy uniqueName="[Tabela1].[Media KM Corrida]" caption="Media KM Corrida" attribute="1" defaultMemberUniqueName="[Tabela1].[Media KM Corrida].[All]" allUniqueName="[Tabela1].[Media KM Corrida].[All]" dimensionUniqueName="[Tabela1]" displayFolder="" count="0" memberValueDatatype="5" unbalanced="0"/>
    <cacheHierarchy uniqueName="[Tabela1].[Data (Mês)]" caption="Data (Mês)" attribute="1" defaultMemberUniqueName="[Tabela1].[Data (Mês)].[All]" allUniqueName="[Tabela1].[Data (Mês)].[All]" dimensionUniqueName="[Tabela1]" displayFolder="" count="0" memberValueDatatype="130" unbalanced="0"/>
    <cacheHierarchy uniqueName="[Tabela1].[Data (Índice do Mês)]" caption="Data (Índice do Mês)" attribute="1" defaultMemberUniqueName="[Tabela1].[Data (Índice do Mês)].[All]" allUniqueName="[Tabela1].[Data (Índice do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Contagem de Data]" caption="Contagem de Data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istinta de Data]" caption="Contagem Distinta de Data" measure="1" displayFolder="" measureGroup="Tabe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o Gomes" refreshedDate="46222.942902199073" createdVersion="8" refreshedVersion="8" minRefreshableVersion="3" recordCount="69" xr:uid="{2A378664-07FA-4403-B2B7-2E3F424CD58E}">
  <cacheSource type="worksheet">
    <worksheetSource name="Tabela1"/>
  </cacheSource>
  <cacheFields count="24">
    <cacheField name="Data" numFmtId="14">
      <sharedItems containsSemiMixedTypes="0" containsNonDate="0" containsDate="1" containsString="0" minDate="2026-03-07T00:00:00" maxDate="2026-07-20T00:00:00" count="36">
        <d v="2026-03-07T00:00:00"/>
        <d v="2026-03-12T00:00:00"/>
        <d v="2026-03-13T00:00:00"/>
        <d v="2026-03-15T00:00:00"/>
        <d v="2026-03-19T00:00:00"/>
        <d v="2026-03-20T00:00:00"/>
        <d v="2026-03-22T00:00:00"/>
        <d v="2026-03-26T00:00:00"/>
        <d v="2026-03-28T00:00:00"/>
        <d v="2026-03-29T00:00:00"/>
        <d v="2026-04-16T00:00:00"/>
        <d v="2026-04-17T00:00:00"/>
        <d v="2026-04-18T00:00:00"/>
        <d v="2026-05-07T00:00:00"/>
        <d v="2026-05-09T00:00:00"/>
        <d v="2026-05-10T00:00:00"/>
        <d v="2026-05-15T00:00:00"/>
        <d v="2026-05-16T00:00:00"/>
        <d v="2026-05-17T00:00:00"/>
        <d v="2026-05-22T00:00:00"/>
        <d v="2026-05-28T00:00:00"/>
        <d v="2026-05-29T00:00:00"/>
        <d v="2026-05-30T00:00:00"/>
        <d v="2026-06-12T00:00:00"/>
        <d v="2026-06-14T00:00:00"/>
        <d v="2026-06-18T00:00:00"/>
        <d v="2026-06-19T00:00:00"/>
        <d v="2026-06-26T00:00:00"/>
        <d v="2026-07-03T00:00:00"/>
        <d v="2026-07-04T00:00:00"/>
        <d v="2026-07-09T00:00:00"/>
        <d v="2026-07-10T00:00:00"/>
        <d v="2026-07-11T00:00:00"/>
        <d v="2026-07-18T00:00:00"/>
        <d v="2026-07-19T00:00:00"/>
        <d v="2026-06-29T00:00:00" u="1"/>
      </sharedItems>
    </cacheField>
    <cacheField name="Dia" numFmtId="14">
      <sharedItems/>
    </cacheField>
    <cacheField name="Mês " numFmtId="0">
      <sharedItems containsBlank="1" count="7">
        <s v="março"/>
        <s v="abril"/>
        <s v="maio"/>
        <s v="junho"/>
        <s v="julho"/>
        <s v="" u="1"/>
        <m u="1"/>
      </sharedItems>
    </cacheField>
    <cacheField name="ANO" numFmtId="0">
      <sharedItems containsSemiMixedTypes="0" containsString="0" containsNumber="1" containsInteger="1" minValue="2026" maxValue="2026"/>
    </cacheField>
    <cacheField name="Semana" numFmtId="0">
      <sharedItems containsBlank="1" count="7">
        <s v="sáb"/>
        <s v="qui"/>
        <s v="sex"/>
        <s v="dom"/>
        <s v="" u="1"/>
        <m u="1"/>
        <s v="seg" u="1"/>
      </sharedItems>
    </cacheField>
    <cacheField name="Semana ano" numFmtId="0">
      <sharedItems containsSemiMixedTypes="0" containsString="0" containsNumber="1" containsInteger="1" minValue="10" maxValue="30"/>
    </cacheField>
    <cacheField name="Tipo dia" numFmtId="0">
      <sharedItems/>
    </cacheField>
    <cacheField name="Aplicativo" numFmtId="0">
      <sharedItems containsMixedTypes="1" containsNumber="1" containsInteger="1" minValue="99" maxValue="99" count="2">
        <s v="Uber"/>
        <n v="99"/>
      </sharedItems>
    </cacheField>
    <cacheField name="Corrida" numFmtId="0">
      <sharedItems containsSemiMixedTypes="0" containsString="0" containsNumber="1" containsInteger="1" minValue="1" maxValue="16"/>
    </cacheField>
    <cacheField name="Km" numFmtId="0">
      <sharedItems containsSemiMixedTypes="0" containsString="0" containsNumber="1" minValue="5.7" maxValue="280.39999999999998"/>
    </cacheField>
    <cacheField name="Horas" numFmtId="0">
      <sharedItems containsSemiMixedTypes="0" containsString="0" containsNumber="1" containsInteger="1" minValue="1" maxValue="8"/>
    </cacheField>
    <cacheField name="Valor" numFmtId="164">
      <sharedItems containsSemiMixedTypes="0" containsString="0" containsNumber="1" minValue="10.16" maxValue="390.9"/>
    </cacheField>
    <cacheField name="Receita " numFmtId="165">
      <sharedItems containsSemiMixedTypes="0" containsString="0" containsNumber="1" minValue="-56.410000000000004" maxValue="342"/>
    </cacheField>
    <cacheField name="Combustível" numFmtId="165">
      <sharedItems containsSemiMixedTypes="0" containsString="0" containsNumber="1" minValue="0" maxValue="153.62"/>
    </cacheField>
    <cacheField name="Litros" numFmtId="0">
      <sharedItems containsString="0" containsBlank="1" containsNumber="1" minValue="0" maxValue="41"/>
    </cacheField>
    <cacheField name="Tipo Combustivel" numFmtId="0">
      <sharedItems/>
    </cacheField>
    <cacheField name="Alimentação" numFmtId="165">
      <sharedItems containsSemiMixedTypes="0" containsString="0" containsNumber="1" minValue="0" maxValue="40"/>
    </cacheField>
    <cacheField name="Manutenção" numFmtId="165">
      <sharedItems containsSemiMixedTypes="0" containsString="0" containsNumber="1" minValue="0" maxValue="450"/>
    </cacheField>
    <cacheField name="Lucro Líquido " numFmtId="165">
      <sharedItems containsSemiMixedTypes="0" containsString="0" containsNumber="1" minValue="-433.34" maxValue="327"/>
    </cacheField>
    <cacheField name="Km/L" numFmtId="0">
      <sharedItems containsSemiMixedTypes="0" containsString="0" containsNumber="1" minValue="8.4" maxValue="10.6"/>
    </cacheField>
    <cacheField name="Ganho por horas" numFmtId="165">
      <sharedItems containsSemiMixedTypes="0" containsString="0" containsNumber="1" minValue="2.85" maxValue="81.599999999999994"/>
    </cacheField>
    <cacheField name="Ganho por km" numFmtId="165">
      <sharedItems containsSemiMixedTypes="0" containsString="0" containsNumber="1" minValue="0.41639999999999999" maxValue="2.421071428571429"/>
    </cacheField>
    <cacheField name="Valor Medio Corrida" numFmtId="165">
      <sharedItems containsSemiMixedTypes="0" containsString="0" containsNumber="1" minValue="10.16" maxValue="51.6"/>
    </cacheField>
    <cacheField name="Media KM Corrida" numFmtId="2">
      <sharedItems containsSemiMixedTypes="0" containsString="0" containsNumber="1" minValue="5.7" maxValue="45"/>
    </cacheField>
  </cacheFields>
  <extLst>
    <ext xmlns:x14="http://schemas.microsoft.com/office/spreadsheetml/2009/9/main" uri="{725AE2AE-9491-48be-B2B4-4EB974FC3084}">
      <x14:pivotCacheDefinition pivotCacheId="16807231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s v="7"/>
    <x v="0"/>
    <n v="2026"/>
    <x v="0"/>
    <n v="10"/>
    <s v="Final de semana"/>
    <x v="0"/>
    <n v="9"/>
    <n v="200"/>
    <n v="7"/>
    <n v="233.52"/>
    <n v="98.820000000000022"/>
    <n v="134.69999999999999"/>
    <n v="15"/>
    <s v="Etanol"/>
    <n v="0"/>
    <n v="0"/>
    <n v="98.820000000000022"/>
    <n v="9.6"/>
    <n v="28.571428571428573"/>
    <n v="1.1676"/>
    <n v="25.946666666666669"/>
    <n v="22.222222222222221"/>
  </r>
  <r>
    <x v="0"/>
    <s v="7"/>
    <x v="0"/>
    <n v="2026"/>
    <x v="0"/>
    <n v="10"/>
    <s v="Final de semana"/>
    <x v="1"/>
    <n v="3"/>
    <n v="81.599999999999994"/>
    <n v="1"/>
    <n v="106.93"/>
    <n v="106.93"/>
    <n v="0"/>
    <n v="0"/>
    <s v="Etanol"/>
    <n v="0"/>
    <n v="0"/>
    <n v="106.93"/>
    <n v="9.6"/>
    <n v="81.599999999999994"/>
    <n v="1.3104166666666668"/>
    <n v="35.643333333333338"/>
    <n v="27.2"/>
  </r>
  <r>
    <x v="1"/>
    <s v="12"/>
    <x v="0"/>
    <n v="2026"/>
    <x v="1"/>
    <n v="11"/>
    <s v="Semana"/>
    <x v="1"/>
    <n v="13"/>
    <n v="110.4"/>
    <n v="4"/>
    <n v="192.08"/>
    <n v="92.860000000000014"/>
    <n v="99.22"/>
    <n v="20"/>
    <s v="Etanol"/>
    <n v="11.99"/>
    <n v="0"/>
    <n v="80.87"/>
    <n v="9"/>
    <n v="27.6"/>
    <n v="1.7398550724637682"/>
    <n v="14.775384615384617"/>
    <n v="8.4923076923076923"/>
  </r>
  <r>
    <x v="1"/>
    <s v="12"/>
    <x v="0"/>
    <n v="2026"/>
    <x v="1"/>
    <n v="11"/>
    <s v="Semana"/>
    <x v="0"/>
    <n v="9"/>
    <n v="138"/>
    <n v="5"/>
    <n v="139.38"/>
    <n v="39.58"/>
    <n v="99.8"/>
    <n v="20"/>
    <s v="Etanol"/>
    <n v="0"/>
    <n v="0"/>
    <n v="39.58"/>
    <n v="9"/>
    <n v="27.6"/>
    <n v="1.01"/>
    <n v="15.486666666666666"/>
    <n v="15.333333333333334"/>
  </r>
  <r>
    <x v="2"/>
    <s v="13"/>
    <x v="0"/>
    <n v="2026"/>
    <x v="2"/>
    <n v="11"/>
    <s v="Semana"/>
    <x v="1"/>
    <n v="12"/>
    <n v="129.9"/>
    <n v="3"/>
    <n v="169.36"/>
    <n v="120.46000000000001"/>
    <n v="48.9"/>
    <n v="10"/>
    <s v="Etanol"/>
    <n v="20"/>
    <n v="0"/>
    <n v="100.46000000000001"/>
    <n v="8.9"/>
    <n v="43.300000000000004"/>
    <n v="1.3037721324095459"/>
    <n v="14.113333333333335"/>
    <n v="10.825000000000001"/>
  </r>
  <r>
    <x v="2"/>
    <s v="13"/>
    <x v="0"/>
    <n v="2026"/>
    <x v="2"/>
    <n v="11"/>
    <s v="Semana"/>
    <x v="0"/>
    <n v="5"/>
    <n v="54.2"/>
    <n v="2"/>
    <n v="130"/>
    <n v="81.099999999999994"/>
    <n v="48.9"/>
    <n v="10"/>
    <s v="Etanol"/>
    <n v="20"/>
    <n v="0"/>
    <n v="61.1"/>
    <n v="8.9"/>
    <n v="27.1"/>
    <n v="2.3985239852398523"/>
    <n v="26"/>
    <n v="10.84"/>
  </r>
  <r>
    <x v="3"/>
    <s v="15"/>
    <x v="0"/>
    <n v="2026"/>
    <x v="3"/>
    <n v="12"/>
    <s v="Final de semana"/>
    <x v="0"/>
    <n v="5"/>
    <n v="125"/>
    <n v="4"/>
    <n v="117.55"/>
    <n v="55.669999999999995"/>
    <n v="61.88"/>
    <n v="10"/>
    <s v="Etanol"/>
    <n v="15"/>
    <n v="0"/>
    <n v="40.669999999999995"/>
    <n v="10"/>
    <n v="31.25"/>
    <n v="0.94040000000000001"/>
    <n v="23.509999999999998"/>
    <n v="25"/>
  </r>
  <r>
    <x v="3"/>
    <s v="15"/>
    <x v="0"/>
    <n v="2026"/>
    <x v="3"/>
    <n v="12"/>
    <s v="Final de semana"/>
    <x v="1"/>
    <n v="7"/>
    <n v="176"/>
    <n v="4"/>
    <n v="279.2"/>
    <n v="217.32"/>
    <n v="61.88"/>
    <n v="15"/>
    <s v="Etanol"/>
    <n v="15"/>
    <n v="0"/>
    <n v="202.32"/>
    <n v="10"/>
    <n v="44"/>
    <n v="1.5863636363636362"/>
    <n v="39.885714285714286"/>
    <n v="25.142857142857142"/>
  </r>
  <r>
    <x v="4"/>
    <s v="19"/>
    <x v="0"/>
    <n v="2026"/>
    <x v="1"/>
    <n v="12"/>
    <s v="Semana"/>
    <x v="0"/>
    <n v="7"/>
    <n v="133"/>
    <n v="5"/>
    <n v="220.25"/>
    <n v="122.45"/>
    <n v="97.8"/>
    <n v="20"/>
    <s v="Etanol"/>
    <n v="0"/>
    <n v="0"/>
    <n v="122.45"/>
    <n v="9.3000000000000007"/>
    <n v="26.6"/>
    <n v="1.6560150375939851"/>
    <n v="31.464285714285715"/>
    <n v="19"/>
  </r>
  <r>
    <x v="4"/>
    <s v="19"/>
    <x v="0"/>
    <n v="2026"/>
    <x v="1"/>
    <n v="12"/>
    <s v="Semana"/>
    <x v="1"/>
    <n v="7"/>
    <n v="133"/>
    <n v="3"/>
    <n v="121.75"/>
    <n v="-27.949999999999989"/>
    <n v="149.69999999999999"/>
    <n v="30"/>
    <s v="Etanol"/>
    <n v="0"/>
    <n v="0"/>
    <n v="-27.949999999999989"/>
    <n v="9.3000000000000007"/>
    <n v="44.333333333333336"/>
    <n v="0.91541353383458646"/>
    <n v="17.392857142857142"/>
    <n v="19"/>
  </r>
  <r>
    <x v="5"/>
    <s v="20"/>
    <x v="0"/>
    <n v="2026"/>
    <x v="2"/>
    <n v="12"/>
    <s v="Semana"/>
    <x v="0"/>
    <n v="5"/>
    <n v="129.80000000000001"/>
    <n v="5"/>
    <n v="143.63"/>
    <n v="68.78"/>
    <n v="74.849999999999994"/>
    <n v="15"/>
    <s v="Etanol"/>
    <n v="0"/>
    <n v="0"/>
    <n v="68.78"/>
    <n v="9.4"/>
    <n v="25.96"/>
    <n v="1.1065485362095531"/>
    <n v="28.725999999999999"/>
    <n v="25.96"/>
  </r>
  <r>
    <x v="5"/>
    <s v="20"/>
    <x v="0"/>
    <n v="2026"/>
    <x v="2"/>
    <n v="12"/>
    <s v="Semana"/>
    <x v="1"/>
    <n v="4"/>
    <n v="102.8"/>
    <n v="3"/>
    <n v="114.3"/>
    <n v="64.400000000000006"/>
    <n v="49.9"/>
    <n v="10"/>
    <s v="Etanol"/>
    <n v="0"/>
    <n v="0"/>
    <n v="64.400000000000006"/>
    <n v="9.4"/>
    <n v="34.266666666666666"/>
    <n v="1.1118677042801557"/>
    <n v="28.574999999999999"/>
    <n v="25.7"/>
  </r>
  <r>
    <x v="6"/>
    <s v="22"/>
    <x v="0"/>
    <n v="2026"/>
    <x v="3"/>
    <n v="13"/>
    <s v="Final de semana"/>
    <x v="0"/>
    <n v="10"/>
    <n v="240.7"/>
    <n v="6"/>
    <n v="275.08"/>
    <n v="150.32999999999998"/>
    <n v="124.75"/>
    <n v="25"/>
    <s v="Etanol"/>
    <n v="0"/>
    <n v="0"/>
    <n v="150.32999999999998"/>
    <n v="9.6999999999999993"/>
    <n v="40.116666666666667"/>
    <n v="1.1428334025758204"/>
    <n v="27.507999999999999"/>
    <n v="24.07"/>
  </r>
  <r>
    <x v="6"/>
    <s v="22"/>
    <x v="0"/>
    <n v="2026"/>
    <x v="3"/>
    <n v="13"/>
    <s v="Final de semana"/>
    <x v="1"/>
    <n v="3"/>
    <n v="72.2"/>
    <n v="2"/>
    <n v="109.83"/>
    <n v="12.030000000000001"/>
    <n v="97.8"/>
    <n v="20"/>
    <s v="Etanol"/>
    <n v="0"/>
    <n v="0"/>
    <n v="12.030000000000001"/>
    <n v="9.6999999999999993"/>
    <n v="36.1"/>
    <n v="1.5211911357340719"/>
    <n v="36.61"/>
    <n v="24.066666666666666"/>
  </r>
  <r>
    <x v="7"/>
    <s v="26"/>
    <x v="0"/>
    <n v="2026"/>
    <x v="1"/>
    <n v="13"/>
    <s v="Semana"/>
    <x v="0"/>
    <n v="5"/>
    <n v="75.650000000000006"/>
    <n v="4"/>
    <n v="80.849999999999994"/>
    <n v="9"/>
    <n v="71.849999999999994"/>
    <n v="15"/>
    <s v="Etanol"/>
    <n v="0"/>
    <n v="0"/>
    <n v="9"/>
    <n v="8.8000000000000007"/>
    <n v="18.912500000000001"/>
    <n v="1.0687376074025114"/>
    <n v="16.169999999999998"/>
    <n v="15.13"/>
  </r>
  <r>
    <x v="7"/>
    <s v="26"/>
    <x v="0"/>
    <n v="2026"/>
    <x v="1"/>
    <n v="13"/>
    <s v="Semana"/>
    <x v="1"/>
    <n v="5"/>
    <n v="75.650000000000006"/>
    <n v="2"/>
    <n v="65.290000000000006"/>
    <n v="-6.5599999999999881"/>
    <n v="71.849999999999994"/>
    <n v="15"/>
    <s v="Etanol"/>
    <n v="0"/>
    <n v="0"/>
    <n v="-6.5599999999999881"/>
    <n v="8.8000000000000007"/>
    <n v="37.825000000000003"/>
    <n v="0.86305353602115009"/>
    <n v="13.058000000000002"/>
    <n v="15.13"/>
  </r>
  <r>
    <x v="8"/>
    <s v="28"/>
    <x v="0"/>
    <n v="2026"/>
    <x v="0"/>
    <n v="13"/>
    <s v="Final de semana"/>
    <x v="0"/>
    <n v="8"/>
    <n v="205"/>
    <n v="8"/>
    <n v="390.9"/>
    <n v="342"/>
    <n v="48.9"/>
    <n v="10"/>
    <s v="Etanol"/>
    <n v="15"/>
    <n v="0"/>
    <n v="327"/>
    <n v="10.1"/>
    <n v="25.625"/>
    <n v="1.9068292682926828"/>
    <n v="48.862499999999997"/>
    <n v="25.625"/>
  </r>
  <r>
    <x v="8"/>
    <s v="28"/>
    <x v="0"/>
    <n v="2026"/>
    <x v="0"/>
    <n v="13"/>
    <s v="Final de semana"/>
    <x v="1"/>
    <n v="8"/>
    <n v="205"/>
    <n v="4"/>
    <n v="201.04"/>
    <n v="152.13999999999999"/>
    <n v="48.9"/>
    <n v="10"/>
    <s v="Etanol"/>
    <n v="10"/>
    <n v="0"/>
    <n v="142.13999999999999"/>
    <n v="10.1"/>
    <n v="51.25"/>
    <n v="0.98068292682926828"/>
    <n v="25.13"/>
    <n v="25.625"/>
  </r>
  <r>
    <x v="9"/>
    <s v="29"/>
    <x v="0"/>
    <n v="2026"/>
    <x v="3"/>
    <n v="14"/>
    <s v="Final de semana"/>
    <x v="0"/>
    <n v="5"/>
    <n v="106"/>
    <n v="5"/>
    <n v="165.13"/>
    <n v="65.91"/>
    <n v="99.22"/>
    <n v="20"/>
    <s v="Etanol"/>
    <n v="0"/>
    <n v="25"/>
    <n v="40.909999999999997"/>
    <n v="10.1"/>
    <n v="21.2"/>
    <n v="1.5578301886792452"/>
    <n v="33.025999999999996"/>
    <n v="21.2"/>
  </r>
  <r>
    <x v="9"/>
    <s v="29"/>
    <x v="0"/>
    <n v="2026"/>
    <x v="3"/>
    <n v="14"/>
    <s v="Final de semana"/>
    <x v="1"/>
    <n v="5"/>
    <n v="106"/>
    <n v="3"/>
    <n v="114.75"/>
    <n v="64.75"/>
    <n v="50"/>
    <n v="10"/>
    <s v="Etanol"/>
    <n v="0"/>
    <n v="25"/>
    <n v="39.75"/>
    <n v="10.1"/>
    <n v="35.333333333333336"/>
    <n v="1.0825471698113207"/>
    <n v="22.95"/>
    <n v="21.2"/>
  </r>
  <r>
    <x v="10"/>
    <s v="16"/>
    <x v="1"/>
    <n v="2026"/>
    <x v="1"/>
    <n v="16"/>
    <s v="Semana"/>
    <x v="0"/>
    <n v="7"/>
    <n v="102.1"/>
    <n v="5"/>
    <n v="95.38"/>
    <n v="49.48"/>
    <n v="45.9"/>
    <n v="10"/>
    <s v="Etanol"/>
    <n v="2"/>
    <n v="0"/>
    <n v="47.48"/>
    <n v="8.6999999999999993"/>
    <n v="20.419999999999998"/>
    <n v="0.93418217433888351"/>
    <n v="13.625714285714285"/>
    <n v="14.585714285714285"/>
  </r>
  <r>
    <x v="10"/>
    <s v="16"/>
    <x v="1"/>
    <n v="2026"/>
    <x v="1"/>
    <n v="16"/>
    <s v="Semana"/>
    <x v="1"/>
    <n v="5"/>
    <n v="77.95"/>
    <n v="3"/>
    <n v="136.88999999999999"/>
    <n v="68.039999999999992"/>
    <n v="68.849999999999994"/>
    <n v="15"/>
    <s v="Etanol"/>
    <n v="2"/>
    <n v="0"/>
    <n v="66.039999999999992"/>
    <n v="8.6999999999999993"/>
    <n v="25.983333333333334"/>
    <n v="1.7561257216164206"/>
    <n v="27.377999999999997"/>
    <n v="15.59"/>
  </r>
  <r>
    <x v="11"/>
    <s v="17"/>
    <x v="1"/>
    <n v="2026"/>
    <x v="2"/>
    <n v="16"/>
    <s v="Semana"/>
    <x v="0"/>
    <n v="8"/>
    <n v="200"/>
    <n v="5"/>
    <n v="196.82"/>
    <n v="129.47"/>
    <n v="67.349999999999994"/>
    <n v="15"/>
    <s v="Etanol"/>
    <n v="0"/>
    <n v="0"/>
    <n v="129.47"/>
    <n v="9.1999999999999993"/>
    <n v="40"/>
    <n v="0.98409999999999997"/>
    <n v="24.602499999999999"/>
    <n v="25"/>
  </r>
  <r>
    <x v="11"/>
    <s v="17"/>
    <x v="1"/>
    <n v="2026"/>
    <x v="2"/>
    <n v="16"/>
    <s v="Semana"/>
    <x v="1"/>
    <n v="4"/>
    <n v="100"/>
    <n v="3"/>
    <n v="154.79"/>
    <n v="109.88999999999999"/>
    <n v="44.9"/>
    <n v="10"/>
    <s v="Etanol"/>
    <n v="0"/>
    <n v="0"/>
    <n v="109.88999999999999"/>
    <n v="9.1999999999999993"/>
    <n v="33.333333333333336"/>
    <n v="1.5478999999999998"/>
    <n v="38.697499999999998"/>
    <n v="25"/>
  </r>
  <r>
    <x v="12"/>
    <s v="18"/>
    <x v="1"/>
    <n v="2026"/>
    <x v="0"/>
    <n v="16"/>
    <s v="Final de semana"/>
    <x v="0"/>
    <n v="5"/>
    <n v="154.5"/>
    <n v="3"/>
    <n v="107.16"/>
    <n v="15.36"/>
    <n v="91.8"/>
    <n v="20"/>
    <s v="Etanol"/>
    <n v="0"/>
    <n v="0"/>
    <n v="15.36"/>
    <n v="10.6"/>
    <n v="51.5"/>
    <n v="0.69359223300970874"/>
    <n v="21.431999999999999"/>
    <n v="30.9"/>
  </r>
  <r>
    <x v="12"/>
    <s v="18"/>
    <x v="1"/>
    <n v="2026"/>
    <x v="0"/>
    <n v="16"/>
    <s v="Final de semana"/>
    <x v="1"/>
    <n v="6"/>
    <n v="185.4"/>
    <n v="4"/>
    <n v="284.81"/>
    <n v="170.06"/>
    <n v="114.75"/>
    <n v="25"/>
    <s v="Etanol"/>
    <n v="0"/>
    <n v="0"/>
    <n v="170.06"/>
    <n v="10.6"/>
    <n v="46.35"/>
    <n v="1.5361920172599783"/>
    <n v="47.468333333333334"/>
    <n v="30.900000000000002"/>
  </r>
  <r>
    <x v="13"/>
    <s v="7"/>
    <x v="2"/>
    <n v="2026"/>
    <x v="1"/>
    <n v="19"/>
    <s v="Semana"/>
    <x v="0"/>
    <n v="4"/>
    <n v="100"/>
    <n v="3"/>
    <n v="91.05"/>
    <n v="41.05"/>
    <n v="50"/>
    <n v="15"/>
    <s v="Etanol"/>
    <n v="0"/>
    <n v="0"/>
    <n v="41.05"/>
    <n v="9"/>
    <n v="33.333333333333336"/>
    <n v="0.91049999999999998"/>
    <n v="22.762499999999999"/>
    <n v="25"/>
  </r>
  <r>
    <x v="13"/>
    <s v="7"/>
    <x v="2"/>
    <n v="2026"/>
    <x v="1"/>
    <n v="19"/>
    <s v="Semana"/>
    <x v="1"/>
    <n v="2"/>
    <n v="40"/>
    <n v="2"/>
    <n v="54.8"/>
    <n v="4.7999999999999972"/>
    <n v="50"/>
    <n v="10"/>
    <s v="Etanol"/>
    <n v="0"/>
    <n v="0"/>
    <n v="4.7999999999999972"/>
    <n v="9"/>
    <n v="20"/>
    <n v="1.3699999999999999"/>
    <n v="27.4"/>
    <n v="20"/>
  </r>
  <r>
    <x v="14"/>
    <s v="9"/>
    <x v="2"/>
    <n v="2026"/>
    <x v="0"/>
    <n v="19"/>
    <s v="Final de semana"/>
    <x v="0"/>
    <n v="6"/>
    <n v="150"/>
    <n v="4"/>
    <n v="145.36000000000001"/>
    <n v="16.660000000000025"/>
    <n v="128.69999999999999"/>
    <n v="35"/>
    <s v="Etanol"/>
    <n v="0"/>
    <n v="450"/>
    <n v="-433.34"/>
    <n v="9.5"/>
    <n v="37.5"/>
    <n v="0.96906666666666674"/>
    <n v="24.22666666666667"/>
    <n v="25"/>
  </r>
  <r>
    <x v="14"/>
    <s v="9"/>
    <x v="2"/>
    <n v="2026"/>
    <x v="0"/>
    <n v="19"/>
    <s v="Final de semana"/>
    <x v="1"/>
    <n v="7"/>
    <n v="150"/>
    <n v="4"/>
    <n v="262.89999999999998"/>
    <n v="144.69999999999999"/>
    <n v="118.2"/>
    <n v="30"/>
    <s v="Etanol"/>
    <n v="0"/>
    <n v="0"/>
    <n v="144.69999999999999"/>
    <n v="9.5"/>
    <n v="37.5"/>
    <n v="1.7526666666666666"/>
    <n v="37.557142857142857"/>
    <n v="21.428571428571427"/>
  </r>
  <r>
    <x v="15"/>
    <s v="10"/>
    <x v="2"/>
    <n v="2026"/>
    <x v="3"/>
    <n v="20"/>
    <s v="Final de semana"/>
    <x v="0"/>
    <n v="8"/>
    <n v="168.9"/>
    <n v="5"/>
    <n v="239.5"/>
    <n v="175.15"/>
    <n v="64.349999999999994"/>
    <n v="15"/>
    <s v="Etanol"/>
    <n v="0"/>
    <n v="0"/>
    <n v="175.15"/>
    <n v="9.6999999999999993"/>
    <n v="33.78"/>
    <n v="1.4179988158673771"/>
    <n v="29.9375"/>
    <n v="21.112500000000001"/>
  </r>
  <r>
    <x v="15"/>
    <s v="10"/>
    <x v="2"/>
    <n v="2026"/>
    <x v="3"/>
    <n v="20"/>
    <s v="Final de semana"/>
    <x v="1"/>
    <n v="7"/>
    <n v="147.77000000000001"/>
    <n v="4"/>
    <n v="244.55"/>
    <n v="201.65"/>
    <n v="42.9"/>
    <n v="10"/>
    <s v="Etanol"/>
    <n v="0"/>
    <n v="0"/>
    <n v="201.65"/>
    <n v="9.6999999999999993"/>
    <n v="36.942500000000003"/>
    <n v="1.6549367259930974"/>
    <n v="34.93571428571429"/>
    <n v="21.110000000000003"/>
  </r>
  <r>
    <x v="16"/>
    <s v="15"/>
    <x v="2"/>
    <n v="2026"/>
    <x v="2"/>
    <n v="20"/>
    <s v="Semana"/>
    <x v="0"/>
    <n v="2"/>
    <n v="28"/>
    <n v="2"/>
    <n v="67.790000000000006"/>
    <n v="46.140000000000008"/>
    <n v="21.65"/>
    <n v="5"/>
    <s v="Etanol"/>
    <n v="0"/>
    <n v="0"/>
    <n v="46.140000000000008"/>
    <n v="8.8000000000000007"/>
    <n v="14"/>
    <n v="2.421071428571429"/>
    <n v="33.895000000000003"/>
    <n v="14"/>
  </r>
  <r>
    <x v="16"/>
    <s v="15"/>
    <x v="2"/>
    <n v="2026"/>
    <x v="2"/>
    <n v="20"/>
    <s v="Semana"/>
    <x v="1"/>
    <n v="9"/>
    <n v="126"/>
    <n v="4"/>
    <n v="168.73"/>
    <n v="53.72999999999999"/>
    <n v="115"/>
    <n v="32"/>
    <s v="Etanol"/>
    <n v="15"/>
    <n v="0"/>
    <n v="38.72999999999999"/>
    <n v="8.8000000000000007"/>
    <n v="31.5"/>
    <n v="1.3391269841269839"/>
    <n v="18.747777777777777"/>
    <n v="14"/>
  </r>
  <r>
    <x v="17"/>
    <s v="16"/>
    <x v="2"/>
    <n v="2026"/>
    <x v="0"/>
    <n v="20"/>
    <s v="Final de semana"/>
    <x v="0"/>
    <n v="5"/>
    <n v="70.2"/>
    <n v="3"/>
    <n v="119.29"/>
    <n v="57.000000000000007"/>
    <n v="62.29"/>
    <n v="16.7"/>
    <s v="Etanol"/>
    <n v="25"/>
    <n v="0"/>
    <n v="32.000000000000007"/>
    <n v="9.4"/>
    <n v="23.400000000000002"/>
    <n v="1.6992877492877494"/>
    <n v="23.858000000000001"/>
    <n v="14.040000000000001"/>
  </r>
  <r>
    <x v="17"/>
    <s v="16"/>
    <x v="2"/>
    <n v="2026"/>
    <x v="0"/>
    <n v="20"/>
    <s v="Final de semana"/>
    <x v="1"/>
    <n v="16"/>
    <n v="224.7"/>
    <n v="6"/>
    <n v="284.13"/>
    <n v="221.84"/>
    <n v="62.29"/>
    <n v="16.7"/>
    <s v="Etanol"/>
    <n v="25"/>
    <n v="0"/>
    <n v="196.84"/>
    <n v="9.4"/>
    <n v="37.449999999999996"/>
    <n v="1.2644859813084113"/>
    <n v="17.758125"/>
    <n v="14.043749999999999"/>
  </r>
  <r>
    <x v="18"/>
    <s v="17"/>
    <x v="2"/>
    <n v="2026"/>
    <x v="3"/>
    <n v="21"/>
    <s v="Final de semana"/>
    <x v="0"/>
    <n v="1"/>
    <n v="5.7"/>
    <n v="2"/>
    <n v="10.16"/>
    <n v="10.16"/>
    <n v="0"/>
    <n v="0"/>
    <s v="Etanol"/>
    <n v="0"/>
    <n v="0"/>
    <n v="10.16"/>
    <n v="9.9"/>
    <n v="2.85"/>
    <n v="1.7824561403508772"/>
    <n v="10.16"/>
    <n v="5.7"/>
  </r>
  <r>
    <x v="18"/>
    <s v="17"/>
    <x v="2"/>
    <n v="2026"/>
    <x v="3"/>
    <n v="21"/>
    <s v="Final de semana"/>
    <x v="1"/>
    <n v="9"/>
    <n v="250"/>
    <n v="5"/>
    <n v="304.58999999999997"/>
    <n v="165.60999999999999"/>
    <n v="138.97999999999999"/>
    <n v="36"/>
    <s v="Etanol"/>
    <n v="0"/>
    <n v="0"/>
    <n v="165.60999999999999"/>
    <n v="9.9"/>
    <n v="50"/>
    <n v="1.2183599999999999"/>
    <n v="33.843333333333334"/>
    <n v="27.777777777777779"/>
  </r>
  <r>
    <x v="19"/>
    <s v="22"/>
    <x v="2"/>
    <n v="2026"/>
    <x v="2"/>
    <n v="21"/>
    <s v="Semana"/>
    <x v="0"/>
    <n v="5"/>
    <n v="144.80000000000001"/>
    <n v="4"/>
    <n v="145.24"/>
    <n v="45.710000000000008"/>
    <n v="99.53"/>
    <n v="25.4"/>
    <s v="Etanol"/>
    <n v="0"/>
    <n v="0"/>
    <n v="45.710000000000008"/>
    <n v="10.3"/>
    <n v="36.200000000000003"/>
    <n v="1.0030386740331492"/>
    <n v="29.048000000000002"/>
    <n v="28.96"/>
  </r>
  <r>
    <x v="19"/>
    <s v="22"/>
    <x v="2"/>
    <n v="2026"/>
    <x v="2"/>
    <n v="21"/>
    <s v="Semana"/>
    <x v="1"/>
    <n v="1"/>
    <n v="45"/>
    <n v="1"/>
    <n v="51.6"/>
    <n v="51.6"/>
    <n v="0"/>
    <n v="0"/>
    <s v="Etanol"/>
    <n v="0"/>
    <n v="0"/>
    <n v="51.6"/>
    <n v="10.3"/>
    <n v="45"/>
    <n v="1.1466666666666667"/>
    <n v="51.6"/>
    <n v="45"/>
  </r>
  <r>
    <x v="20"/>
    <s v="28"/>
    <x v="2"/>
    <n v="2026"/>
    <x v="1"/>
    <n v="22"/>
    <s v="Semana"/>
    <x v="0"/>
    <n v="2"/>
    <n v="50"/>
    <n v="3"/>
    <n v="20.82"/>
    <n v="-56.410000000000004"/>
    <n v="77.23"/>
    <n v="20"/>
    <s v="Etanol"/>
    <n v="10"/>
    <n v="0"/>
    <n v="-66.41"/>
    <n v="9.5"/>
    <n v="16.666666666666668"/>
    <n v="0.41639999999999999"/>
    <n v="10.41"/>
    <n v="25"/>
  </r>
  <r>
    <x v="20"/>
    <s v="28"/>
    <x v="2"/>
    <n v="2026"/>
    <x v="1"/>
    <n v="22"/>
    <s v="Semana"/>
    <x v="1"/>
    <n v="3"/>
    <n v="50"/>
    <n v="3"/>
    <n v="84.93"/>
    <n v="7.7000000000000028"/>
    <n v="77.23"/>
    <n v="21"/>
    <s v="Etanol"/>
    <n v="7"/>
    <n v="0"/>
    <n v="0.70000000000000284"/>
    <n v="9.5"/>
    <n v="16.666666666666668"/>
    <n v="1.6986000000000001"/>
    <n v="28.310000000000002"/>
    <n v="16.666666666666668"/>
  </r>
  <r>
    <x v="21"/>
    <s v="29"/>
    <x v="2"/>
    <n v="2026"/>
    <x v="2"/>
    <n v="22"/>
    <s v="Semana"/>
    <x v="0"/>
    <n v="8"/>
    <n v="163.28"/>
    <n v="5"/>
    <n v="220.47"/>
    <n v="220.47"/>
    <n v="0"/>
    <n v="0"/>
    <s v="Etanol"/>
    <n v="5"/>
    <n v="157.16999999999999"/>
    <n v="58.300000000000011"/>
    <n v="9.5"/>
    <n v="32.655999999999999"/>
    <n v="1.3502572268495836"/>
    <n v="27.55875"/>
    <n v="20.41"/>
  </r>
  <r>
    <x v="21"/>
    <s v="29"/>
    <x v="2"/>
    <n v="2026"/>
    <x v="2"/>
    <n v="22"/>
    <s v="Semana"/>
    <x v="1"/>
    <n v="4"/>
    <n v="81.66"/>
    <n v="3"/>
    <n v="103.68"/>
    <n v="103.68"/>
    <n v="0"/>
    <n v="0"/>
    <s v="Etanol"/>
    <n v="5"/>
    <n v="157.16999999999999"/>
    <n v="-58.489999999999981"/>
    <n v="9.5"/>
    <n v="27.22"/>
    <n v="1.2696546656869949"/>
    <n v="25.92"/>
    <n v="20.414999999999999"/>
  </r>
  <r>
    <x v="22"/>
    <s v="30"/>
    <x v="2"/>
    <n v="2026"/>
    <x v="0"/>
    <n v="22"/>
    <s v="Final de semana"/>
    <x v="0"/>
    <n v="13"/>
    <n v="280.39999999999998"/>
    <n v="8"/>
    <n v="374.3"/>
    <n v="220.68"/>
    <n v="153.62"/>
    <n v="41"/>
    <s v="Etanol"/>
    <n v="0"/>
    <n v="40"/>
    <n v="180.68"/>
    <n v="10"/>
    <n v="35.049999999999997"/>
    <n v="1.3348787446504995"/>
    <n v="28.792307692307695"/>
    <n v="21.569230769230767"/>
  </r>
  <r>
    <x v="23"/>
    <s v="12"/>
    <x v="3"/>
    <n v="2026"/>
    <x v="2"/>
    <n v="24"/>
    <s v="Semana"/>
    <x v="0"/>
    <n v="4"/>
    <n v="89"/>
    <n v="5"/>
    <n v="127.36"/>
    <n v="127.36"/>
    <n v="0"/>
    <n v="0"/>
    <s v="Etanol"/>
    <n v="0"/>
    <n v="0"/>
    <n v="127.36"/>
    <n v="8.8000000000000007"/>
    <n v="17.8"/>
    <n v="1.4310112359550562"/>
    <n v="31.84"/>
    <n v="22.25"/>
  </r>
  <r>
    <x v="23"/>
    <s v="12"/>
    <x v="3"/>
    <n v="2026"/>
    <x v="2"/>
    <n v="24"/>
    <s v="Semana"/>
    <x v="1"/>
    <n v="4"/>
    <n v="89"/>
    <n v="3"/>
    <n v="141"/>
    <n v="27.950000000000003"/>
    <n v="113.05"/>
    <n v="32"/>
    <s v="Etanol"/>
    <n v="0"/>
    <n v="0"/>
    <n v="27.950000000000003"/>
    <n v="8.8000000000000007"/>
    <n v="29.666666666666668"/>
    <n v="1.5842696629213484"/>
    <n v="35.25"/>
    <n v="22.25"/>
  </r>
  <r>
    <x v="24"/>
    <s v="14"/>
    <x v="3"/>
    <n v="2026"/>
    <x v="3"/>
    <n v="25"/>
    <s v="Final de semana"/>
    <x v="0"/>
    <n v="10"/>
    <n v="240.7"/>
    <n v="7"/>
    <n v="324.11"/>
    <n v="197.99"/>
    <n v="126.12"/>
    <n v="35"/>
    <s v="Etanol"/>
    <n v="0"/>
    <n v="0"/>
    <n v="197.99"/>
    <n v="10"/>
    <n v="34.385714285714286"/>
    <n v="1.346530951391774"/>
    <n v="32.411000000000001"/>
    <n v="24.07"/>
  </r>
  <r>
    <x v="24"/>
    <s v="14"/>
    <x v="3"/>
    <n v="2026"/>
    <x v="3"/>
    <n v="25"/>
    <s v="Final de semana"/>
    <x v="1"/>
    <n v="4"/>
    <n v="96"/>
    <n v="3"/>
    <n v="125.5"/>
    <n v="125.5"/>
    <n v="0"/>
    <n v="0"/>
    <s v="Etanol"/>
    <n v="9"/>
    <n v="0"/>
    <n v="116.5"/>
    <n v="10"/>
    <n v="32"/>
    <n v="1.3072916666666667"/>
    <n v="31.375"/>
    <n v="24"/>
  </r>
  <r>
    <x v="25"/>
    <s v="18"/>
    <x v="3"/>
    <n v="2026"/>
    <x v="1"/>
    <n v="25"/>
    <s v="Semana"/>
    <x v="0"/>
    <n v="4"/>
    <n v="75.599999999999994"/>
    <n v="4"/>
    <n v="81.52"/>
    <n v="39.33"/>
    <n v="42.19"/>
    <n v="10"/>
    <s v="Etanol"/>
    <n v="0"/>
    <n v="0"/>
    <n v="39.33"/>
    <n v="9.9"/>
    <n v="18.899999999999999"/>
    <n v="1.0783068783068783"/>
    <n v="20.38"/>
    <n v="18.899999999999999"/>
  </r>
  <r>
    <x v="25"/>
    <s v="18"/>
    <x v="3"/>
    <n v="2026"/>
    <x v="1"/>
    <n v="25"/>
    <s v="Semana"/>
    <x v="1"/>
    <n v="6"/>
    <n v="113.4"/>
    <n v="4"/>
    <n v="163.74"/>
    <n v="85.54"/>
    <n v="78.2"/>
    <n v="20"/>
    <s v="Etanol"/>
    <n v="0"/>
    <n v="0"/>
    <n v="85.54"/>
    <n v="9.9"/>
    <n v="28.35"/>
    <n v="1.4439153439153438"/>
    <n v="27.290000000000003"/>
    <n v="18.900000000000002"/>
  </r>
  <r>
    <x v="26"/>
    <s v="19"/>
    <x v="3"/>
    <n v="2026"/>
    <x v="2"/>
    <n v="25"/>
    <s v="Semana"/>
    <x v="0"/>
    <n v="4"/>
    <n v="108.2"/>
    <n v="4"/>
    <n v="134.59"/>
    <n v="14.620000000000005"/>
    <n v="119.97"/>
    <n v="33.4"/>
    <s v="Etanol"/>
    <n v="0"/>
    <n v="0"/>
    <n v="14.620000000000005"/>
    <n v="9.1999999999999993"/>
    <n v="27.05"/>
    <n v="1.2439001848428834"/>
    <n v="33.647500000000001"/>
    <n v="27.05"/>
  </r>
  <r>
    <x v="26"/>
    <s v="19"/>
    <x v="3"/>
    <n v="2026"/>
    <x v="2"/>
    <n v="25"/>
    <s v="Semana"/>
    <x v="1"/>
    <n v="4"/>
    <n v="108.2"/>
    <n v="4"/>
    <n v="113.66"/>
    <n v="113.66"/>
    <n v="0"/>
    <n v="0"/>
    <s v="Etanol"/>
    <n v="0"/>
    <n v="0"/>
    <n v="113.66"/>
    <n v="9.1999999999999993"/>
    <n v="27.05"/>
    <n v="1.0504621072088725"/>
    <n v="28.414999999999999"/>
    <n v="27.05"/>
  </r>
  <r>
    <x v="27"/>
    <s v="26"/>
    <x v="3"/>
    <n v="2026"/>
    <x v="2"/>
    <n v="26"/>
    <s v="Semana"/>
    <x v="0"/>
    <n v="9"/>
    <n v="198.7"/>
    <n v="7"/>
    <n v="255.55"/>
    <n v="192.01000000000002"/>
    <n v="63.54"/>
    <n v="18"/>
    <s v="Etanol"/>
    <n v="8"/>
    <n v="0"/>
    <n v="184.01000000000002"/>
    <n v="9.3000000000000007"/>
    <n v="28.385714285714283"/>
    <n v="1.28610971313538"/>
    <n v="28.394444444444446"/>
    <n v="22.077777777777776"/>
  </r>
  <r>
    <x v="27"/>
    <s v="26"/>
    <x v="3"/>
    <n v="2026"/>
    <x v="2"/>
    <n v="26"/>
    <s v="Semana"/>
    <x v="1"/>
    <n v="4"/>
    <n v="88.3"/>
    <n v="2"/>
    <n v="114.93"/>
    <n v="51.390000000000008"/>
    <n v="63.54"/>
    <n v="18"/>
    <s v="Etanol"/>
    <n v="0"/>
    <n v="0"/>
    <n v="51.390000000000008"/>
    <n v="9.3000000000000007"/>
    <n v="44.15"/>
    <n v="1.30158550396376"/>
    <n v="28.732500000000002"/>
    <n v="22.074999999999999"/>
  </r>
  <r>
    <x v="28"/>
    <s v="3"/>
    <x v="4"/>
    <n v="2026"/>
    <x v="2"/>
    <n v="27"/>
    <s v="Semana"/>
    <x v="0"/>
    <n v="9"/>
    <n v="134.22999999999999"/>
    <n v="4"/>
    <n v="182.37"/>
    <n v="64.040000000000006"/>
    <n v="118.33"/>
    <n v="35"/>
    <s v="Etanol"/>
    <n v="0"/>
    <n v="0"/>
    <n v="64.040000000000006"/>
    <n v="8.4"/>
    <n v="33.557499999999997"/>
    <n v="1.3586381583848619"/>
    <n v="20.263333333333335"/>
    <n v="14.914444444444444"/>
  </r>
  <r>
    <x v="28"/>
    <s v="3"/>
    <x v="4"/>
    <n v="2026"/>
    <x v="2"/>
    <n v="27"/>
    <s v="Semana"/>
    <x v="1"/>
    <n v="4"/>
    <n v="60"/>
    <n v="2"/>
    <n v="88.47"/>
    <n v="88.47"/>
    <n v="0"/>
    <n v="0"/>
    <s v="Etanol"/>
    <n v="0"/>
    <n v="0"/>
    <n v="88.47"/>
    <n v="8.4"/>
    <n v="30"/>
    <n v="1.4744999999999999"/>
    <n v="22.1175"/>
    <n v="15"/>
  </r>
  <r>
    <x v="29"/>
    <s v="4"/>
    <x v="4"/>
    <n v="2026"/>
    <x v="0"/>
    <n v="27"/>
    <s v="Final de semana"/>
    <x v="0"/>
    <n v="3"/>
    <n v="91.92"/>
    <n v="2"/>
    <n v="107.47"/>
    <n v="107.47"/>
    <n v="0"/>
    <n v="0"/>
    <s v="Etanol"/>
    <n v="10"/>
    <n v="0"/>
    <n v="97.47"/>
    <n v="10"/>
    <n v="45.96"/>
    <n v="1.1691688424717146"/>
    <n v="35.823333333333331"/>
    <n v="30.64"/>
  </r>
  <r>
    <x v="29"/>
    <s v="4"/>
    <x v="4"/>
    <n v="2026"/>
    <x v="0"/>
    <n v="27"/>
    <s v="Final de semana"/>
    <x v="1"/>
    <n v="7"/>
    <n v="214.48"/>
    <n v="7"/>
    <n v="258.04000000000002"/>
    <n v="132.17000000000002"/>
    <n v="125.87"/>
    <n v="37.1"/>
    <s v="Etanol"/>
    <n v="0"/>
    <n v="0"/>
    <n v="132.17000000000002"/>
    <n v="10"/>
    <n v="30.639999999999997"/>
    <n v="1.2030958597538233"/>
    <n v="36.862857142857145"/>
    <n v="30.639999999999997"/>
  </r>
  <r>
    <x v="30"/>
    <s v="9"/>
    <x v="4"/>
    <n v="2026"/>
    <x v="1"/>
    <n v="28"/>
    <s v="Semana"/>
    <x v="0"/>
    <n v="6"/>
    <n v="160"/>
    <n v="6"/>
    <n v="167.56"/>
    <n v="62.42"/>
    <n v="105.14"/>
    <m/>
    <s v="Etanol"/>
    <n v="0"/>
    <n v="0"/>
    <n v="62.42"/>
    <n v="8.8000000000000007"/>
    <n v="26.666666666666668"/>
    <n v="1.04725"/>
    <n v="27.926666666666666"/>
    <n v="26.666666666666668"/>
  </r>
  <r>
    <x v="30"/>
    <s v="9"/>
    <x v="4"/>
    <n v="2026"/>
    <x v="1"/>
    <n v="28"/>
    <s v="Semana"/>
    <x v="1"/>
    <n v="3"/>
    <n v="80"/>
    <n v="2"/>
    <n v="75.09"/>
    <n v="75.09"/>
    <n v="0"/>
    <n v="0"/>
    <s v="Etanol"/>
    <n v="0"/>
    <n v="0"/>
    <n v="75.09"/>
    <n v="8.8000000000000007"/>
    <n v="40"/>
    <n v="0.93862500000000004"/>
    <n v="25.03"/>
    <n v="26.666666666666668"/>
  </r>
  <r>
    <x v="31"/>
    <s v="10"/>
    <x v="4"/>
    <n v="2026"/>
    <x v="2"/>
    <n v="28"/>
    <s v="Semana"/>
    <x v="0"/>
    <n v="2"/>
    <n v="66.34"/>
    <n v="3"/>
    <n v="75.02"/>
    <n v="50.019999999999996"/>
    <n v="25"/>
    <n v="6"/>
    <s v="Etanol"/>
    <n v="0"/>
    <n v="0"/>
    <n v="50.019999999999996"/>
    <n v="9.5"/>
    <n v="22.113333333333333"/>
    <n v="1.1308411214953269"/>
    <n v="37.51"/>
    <n v="33.17"/>
  </r>
  <r>
    <x v="31"/>
    <s v="10"/>
    <x v="4"/>
    <n v="2026"/>
    <x v="2"/>
    <n v="28"/>
    <s v="Semana"/>
    <x v="1"/>
    <n v="8"/>
    <n v="265.36"/>
    <n v="6"/>
    <n v="344.41"/>
    <n v="207.74000000000004"/>
    <n v="136.66999999999999"/>
    <n v="38.5"/>
    <s v="Etanol"/>
    <n v="0"/>
    <n v="0"/>
    <n v="207.74000000000004"/>
    <n v="9.5"/>
    <n v="44.226666666666667"/>
    <n v="1.2978971962616823"/>
    <n v="43.051250000000003"/>
    <n v="33.17"/>
  </r>
  <r>
    <x v="32"/>
    <s v="11"/>
    <x v="4"/>
    <n v="2026"/>
    <x v="0"/>
    <n v="28"/>
    <s v="Final de semana"/>
    <x v="0"/>
    <n v="12"/>
    <n v="254.24"/>
    <n v="7"/>
    <n v="279.36"/>
    <n v="161.02000000000001"/>
    <n v="118.34"/>
    <n v="33.4"/>
    <s v="Etanol"/>
    <n v="0"/>
    <n v="0"/>
    <n v="161.02000000000001"/>
    <n v="9.3000000000000007"/>
    <n v="36.32"/>
    <n v="1.0988042794210195"/>
    <n v="23.28"/>
    <n v="21.186666666666667"/>
  </r>
  <r>
    <x v="32"/>
    <s v="11"/>
    <x v="4"/>
    <n v="2026"/>
    <x v="0"/>
    <n v="28"/>
    <s v="Final de semana"/>
    <x v="1"/>
    <n v="3"/>
    <n v="63.54"/>
    <n v="2"/>
    <n v="92"/>
    <n v="92"/>
    <n v="0"/>
    <n v="0"/>
    <s v="Etanol"/>
    <n v="0"/>
    <n v="0"/>
    <n v="92"/>
    <n v="9.3000000000000007"/>
    <n v="31.77"/>
    <n v="1.4479068303430911"/>
    <n v="30.666666666666668"/>
    <n v="21.18"/>
  </r>
  <r>
    <x v="33"/>
    <s v="18"/>
    <x v="4"/>
    <n v="2026"/>
    <x v="0"/>
    <n v="29"/>
    <s v="Final de semana"/>
    <x v="0"/>
    <n v="10"/>
    <n v="157.63999999999999"/>
    <n v="7"/>
    <n v="204.73"/>
    <n v="113.24"/>
    <n v="91.49"/>
    <n v="27.5"/>
    <s v="Etanol"/>
    <n v="0"/>
    <n v="0"/>
    <n v="113.24"/>
    <n v="8.6999999999999993"/>
    <n v="22.52"/>
    <n v="1.298718599340269"/>
    <n v="20.472999999999999"/>
    <n v="15.763999999999999"/>
  </r>
  <r>
    <x v="33"/>
    <s v="18"/>
    <x v="4"/>
    <n v="2026"/>
    <x v="0"/>
    <n v="29"/>
    <s v="Final de semana"/>
    <x v="1"/>
    <n v="7"/>
    <n v="109.9"/>
    <n v="4"/>
    <n v="212.81"/>
    <n v="212.81"/>
    <n v="0"/>
    <n v="0"/>
    <s v="Etanol"/>
    <n v="30"/>
    <n v="50"/>
    <n v="132.81"/>
    <n v="8.6999999999999993"/>
    <n v="27.475000000000001"/>
    <n v="1.9363967242948135"/>
    <n v="30.401428571428571"/>
    <n v="15.700000000000001"/>
  </r>
  <r>
    <x v="34"/>
    <s v="19"/>
    <x v="4"/>
    <n v="2026"/>
    <x v="3"/>
    <n v="30"/>
    <s v="Final de semana"/>
    <x v="0"/>
    <n v="9"/>
    <n v="212.5"/>
    <n v="6"/>
    <n v="349.4"/>
    <n v="227.82999999999998"/>
    <n v="121.57"/>
    <n v="34.4"/>
    <s v="Etanol"/>
    <n v="0"/>
    <n v="0"/>
    <n v="227.82999999999998"/>
    <n v="9.6"/>
    <n v="35.416666666666664"/>
    <n v="1.644235294117647"/>
    <n v="38.822222222222223"/>
    <n v="23.611111111111111"/>
  </r>
  <r>
    <x v="34"/>
    <s v="19"/>
    <x v="4"/>
    <n v="2026"/>
    <x v="3"/>
    <n v="30"/>
    <s v="Final de semana"/>
    <x v="1"/>
    <n v="4"/>
    <n v="94.4"/>
    <n v="2"/>
    <n v="71.58"/>
    <n v="71.58"/>
    <n v="0"/>
    <n v="0"/>
    <s v="Etanol"/>
    <n v="40"/>
    <n v="0"/>
    <n v="31.58"/>
    <n v="9.6"/>
    <n v="47.2"/>
    <n v="0.75826271186440675"/>
    <n v="17.895"/>
    <n v="23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D786F-B83C-44B6-ABB9-A571B2959A37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E14:F17" firstHeaderRow="1" firstDataRow="1" firstDataCol="1"/>
  <pivotFields count="24">
    <pivotField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35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oma de Corrida" fld="8" baseField="0" baseItem="0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4FD79-E95D-4A4A-86C3-D5A05BE2111C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4" firstHeaderRow="0" firstDataRow="1" firstDataCol="0"/>
  <pivotFields count="24">
    <pivotField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35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numFmtId="165" showAll="0"/>
    <pivotField showAll="0"/>
    <pivotField dataField="1"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oma de Valor" fld="11" baseField="0" baseItem="0" numFmtId="166"/>
    <dataField name="Soma de Lucro Líquido " fld="18" baseField="0" baseItem="0" numFmtId="166"/>
    <dataField name="Soma de Horas" fld="10" baseField="0" baseItem="0"/>
    <dataField name="Soma de Km" fld="9" baseField="0" baseItem="0"/>
    <dataField name="Soma de Corrida" fld="8" baseField="0" baseItem="0"/>
    <dataField name="Soma de Receita " fld="12" baseField="0" baseItem="0" numFmtId="165"/>
    <dataField name="Soma de Litros" fld="14" baseField="0" baseItem="0"/>
  </dataFields>
  <formats count="4">
    <format dxfId="1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F94E3-8782-467F-9219-9BD53E06C598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9:E2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ntagem Distinta de Data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16">
      <pivotArea outline="0" collapsedLevelsAreSubtotals="1" fieldPosition="0"/>
    </format>
    <format dxfId="15">
      <pivotArea outline="0" collapsedLevelsAreSubtotals="1" fieldPosition="0"/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Data"/>
  </pivotHierarchie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ise_Rentabilidade_Motorista_Dashboard_Pro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99838-DEED-4935-87E6-53FAC1927644}" name="Tabela Dinâ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7:C12" firstHeaderRow="0" firstDataRow="1" firstDataCol="1"/>
  <pivotFields count="24">
    <pivotField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35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showAll="0"/>
    <pivotField axis="axisRow" showAll="0">
      <items count="8">
        <item x="3"/>
        <item x="1"/>
        <item x="2"/>
        <item x="0"/>
        <item h="1" m="1" x="4"/>
        <item h="1" m="1" x="6"/>
        <item h="1" m="1" x="5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dataField="1"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Receita " fld="12" baseField="0" baseItem="0" numFmtId="165"/>
    <dataField name="Soma de Valor" fld="11" baseField="0" baseItem="0"/>
  </dataFields>
  <formats count="10">
    <format dxfId="26">
      <pivotArea type="all" dataOnly="0" outline="0" fieldPosition="0"/>
    </format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all" dataOnly="0" outline="0" fieldPosition="0"/>
    </format>
    <format dxfId="20">
      <pivotArea field="7" type="button" dataOnly="0" labelOnly="1" outline="0"/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outline="0" collapsedLevelsAreSubtotals="1" fieldPosition="0"/>
    </format>
  </formats>
  <chartFormats count="1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24C6C-621A-4F34-A349-181D237956F8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H3:J4" firstHeaderRow="0" firstDataRow="1" firstDataCol="0"/>
  <pivotFields count="24">
    <pivotField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35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65" showAll="0"/>
    <pivotField dataField="1" showAll="0"/>
    <pivotField showAll="0"/>
    <pivotField showAll="0"/>
    <pivotField dataField="1" showAll="0"/>
    <pivotField dataField="1" showAll="0"/>
    <pivotField numFmtId="165"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a de Combustível" fld="13" baseField="0" baseItem="0"/>
    <dataField name="Soma de Alimentação" fld="16" baseField="0" baseItem="0"/>
    <dataField name="Soma de Manutenção" fld="17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9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79D76-401C-4214-8242-E0EB88D84DCC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E7:F12" firstHeaderRow="1" firstDataRow="1" firstDataCol="1"/>
  <pivotFields count="24">
    <pivotField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35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showAll="0"/>
    <pivotField axis="axisRow" showAll="0">
      <items count="8">
        <item x="3"/>
        <item x="1"/>
        <item x="2"/>
        <item x="0"/>
        <item h="1" m="1" x="4"/>
        <item h="1" m="1" x="6"/>
        <item h="1" m="1" x="5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" fld="11" baseField="0" baseItem="0" numFmtId="166"/>
  </dataFields>
  <formats count="10">
    <format dxfId="42">
      <pivotArea type="all" dataOnly="0" outline="0" fieldPosition="0"/>
    </format>
    <format dxfId="41">
      <pivotArea outline="0" collapsedLevelsAreSubtotals="1" fieldPosition="0"/>
    </format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all" dataOnly="0" outline="0" fieldPosition="0"/>
    </format>
    <format dxfId="36">
      <pivotArea field="7" type="button" dataOnly="0" labelOnly="1" outline="0"/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7978D-1B39-4E1E-B160-A762662DFB73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4:C20" firstHeaderRow="0" firstDataRow="1" firstDataCol="1"/>
  <pivotFields count="24">
    <pivotField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35"/>
        <item x="28"/>
        <item x="29"/>
        <item x="30"/>
        <item x="31"/>
        <item x="32"/>
        <item x="33"/>
        <item x="34"/>
        <item t="default"/>
      </items>
    </pivotField>
    <pivotField showAll="0"/>
    <pivotField axis="axisRow" showAll="0">
      <items count="8">
        <item x="0"/>
        <item x="1"/>
        <item x="2"/>
        <item m="1" x="5"/>
        <item x="3"/>
        <item m="1" x="6"/>
        <item x="4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dataField="1" numFmtId="165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Receita " fld="12" baseField="0" baseItem="0" numFmtId="165"/>
    <dataField name="Soma de Valor" fld="11" baseField="0" baseItem="0"/>
  </dataFields>
  <formats count="10">
    <format dxfId="52">
      <pivotArea type="all" dataOnly="0" outline="0" fieldPosition="0"/>
    </format>
    <format dxfId="51">
      <pivotArea outline="0" collapsedLevelsAreSubtotals="1" fieldPosition="0"/>
    </format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all" dataOnly="0" outline="0" fieldPosition="0"/>
    </format>
    <format dxfId="46">
      <pivotArea field="7" type="button" dataOnly="0" labelOnly="1" outline="0"/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outline="0" collapsedLevelsAreSubtotals="1" fieldPosition="0"/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1" xr10:uid="{868B188D-4C41-4D26-A245-F58E84F24134}" sourceName="Data">
  <pivotTables>
    <pivotTable tabId="9" name="Tabela Dinâmica2"/>
    <pivotTable tabId="9" name="Tabela Dinâmica3"/>
    <pivotTable tabId="9" name="Tabela Dinâmica4"/>
    <pivotTable tabId="9" name="Tabela Dinâmica6"/>
    <pivotTable tabId="9" name="Tabela Dinâmica7"/>
    <pivotTable tabId="9" name="Tabela Dinâmica8"/>
  </pivotTables>
  <data>
    <tabular pivotCacheId="1680723193">
      <items count="36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473C97A5-628C-48B6-982E-FD9F2BF05C74}" sourceName="Mês ">
  <pivotTables>
    <pivotTable tabId="9" name="Tabela Dinâmica2"/>
    <pivotTable tabId="9" name="Tabela Dinâmica3"/>
    <pivotTable tabId="9" name="Tabela Dinâmica4"/>
    <pivotTable tabId="9" name="Tabela Dinâmica6"/>
    <pivotTable tabId="9" name="Tabela Dinâmica7"/>
    <pivotTable tabId="9" name="Tabela Dinâmica8"/>
  </pivotTables>
  <data>
    <tabular pivotCacheId="1680723193">
      <items count="7">
        <i x="0" s="1"/>
        <i x="1" s="1"/>
        <i x="2" s="1"/>
        <i x="3" s="1"/>
        <i x="4" s="1"/>
        <i x="5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plicativo1" xr10:uid="{1E30530D-507B-4438-AABE-EB18866A4372}" sourceName="Aplicativo">
  <pivotTables>
    <pivotTable tabId="9" name="Tabela Dinâmica2"/>
    <pivotTable tabId="9" name="Tabela Dinâmica3"/>
    <pivotTable tabId="9" name="Tabela Dinâmica4"/>
    <pivotTable tabId="9" name="Tabela Dinâmica6"/>
    <pivotTable tabId="9" name="Tabela Dinâmica7"/>
    <pivotTable tabId="9" name="Tabela Dinâmica8"/>
  </pivotTables>
  <data>
    <tabular pivotCacheId="1680723193">
      <items count="2"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" xr10:uid="{F8E385F2-18AE-4955-8EE9-64F412E622D7}" cache="SegmentaçãoDeDados_Data1" caption="Data" style="2222" rowHeight="288000"/>
  <slicer name="Mês " xr10:uid="{2E05FBB5-C3DB-4F8F-9189-1F7DA4401DA9}" cache="SegmentaçãoDeDados_Mês1" caption="Mês " columnCount="3" style="2222" rowHeight="360000"/>
  <slicer name="Aplicativo" xr10:uid="{4705022A-27B0-4F06-AAF9-5563C66BD43A}" cache="SegmentaçãoDeDados_Aplicativo1" caption="Aplicativo" columnCount="2" style="2222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X70">
  <autoFilter ref="A1:X7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00000000-0010-0000-0000-000001000000}" name="Data"/>
    <tableColumn id="13" xr3:uid="{00000000-0010-0000-0000-00000D000000}" name="Dia"/>
    <tableColumn id="9" xr3:uid="{00000000-0010-0000-0000-000009000000}" name="Mês "/>
    <tableColumn id="8" xr3:uid="{00000000-0010-0000-0000-000008000000}" name="ANO"/>
    <tableColumn id="11" xr3:uid="{00000000-0010-0000-0000-00000B000000}" name="Semana"/>
    <tableColumn id="2" xr3:uid="{00000000-0010-0000-0000-000002000000}" name="Semana ano"/>
    <tableColumn id="14" xr3:uid="{00000000-0010-0000-0000-00000E000000}" name="Tipo dia"/>
    <tableColumn id="3" xr3:uid="{00000000-0010-0000-0000-000003000000}" name="Aplicativo"/>
    <tableColumn id="25" xr3:uid="{00000000-0010-0000-0000-000019000000}" name="Corrida"/>
    <tableColumn id="26" xr3:uid="{00000000-0010-0000-0000-00001A000000}" name="Km"/>
    <tableColumn id="27" xr3:uid="{00000000-0010-0000-0000-00001B000000}" name="Horas"/>
    <tableColumn id="28" xr3:uid="{00000000-0010-0000-0000-00001C000000}" name="Valor"/>
    <tableColumn id="29" xr3:uid="{00000000-0010-0000-0000-00001D000000}" name="Receita "/>
    <tableColumn id="30" xr3:uid="{00000000-0010-0000-0000-00001E000000}" name="Combustível"/>
    <tableColumn id="4" xr3:uid="{00000000-0010-0000-0000-000004000000}" name="Litros"/>
    <tableColumn id="5" xr3:uid="{00000000-0010-0000-0000-000005000000}" name="Tipo Combustivel"/>
    <tableColumn id="6" xr3:uid="{00000000-0010-0000-0000-000006000000}" name="Alimentação"/>
    <tableColumn id="7" xr3:uid="{00000000-0010-0000-0000-000007000000}" name="Manutenção"/>
    <tableColumn id="10" xr3:uid="{00000000-0010-0000-0000-00000A000000}" name="Lucro Líquido "/>
    <tableColumn id="32" xr3:uid="{00000000-0010-0000-0000-000020000000}" name="Km/L"/>
    <tableColumn id="33" xr3:uid="{00000000-0010-0000-0000-000021000000}" name="Ganho por horas"/>
    <tableColumn id="34" xr3:uid="{00000000-0010-0000-0000-000022000000}" name="Ganho por km"/>
    <tableColumn id="22" xr3:uid="{00000000-0010-0000-0000-000016000000}" name="Valor Medio Corrida"/>
    <tableColumn id="20" xr3:uid="{00000000-0010-0000-0000-000014000000}" name="Media KM Corrid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ela7" displayName="Tabela7" ref="B4:Y101">
  <autoFilter ref="B4:Y101" xr:uid="{00000000-0009-0000-0100-000007000000}"/>
  <tableColumns count="24">
    <tableColumn id="1" xr3:uid="{00000000-0010-0000-0100-000001000000}" name="Semana"/>
    <tableColumn id="2" xr3:uid="{00000000-0010-0000-0100-000002000000}" name="Dia"/>
    <tableColumn id="3" xr3:uid="{00000000-0010-0000-0100-000003000000}" name="Mês"/>
    <tableColumn id="4" xr3:uid="{00000000-0010-0000-0100-000004000000}" name="Ano"/>
    <tableColumn id="6" xr3:uid="{00000000-0010-0000-0100-000006000000}" name="Semana2"/>
    <tableColumn id="7" xr3:uid="{00000000-0010-0000-0100-000007000000}" name="Semana do ano"/>
    <tableColumn id="8" xr3:uid="{00000000-0010-0000-0100-000008000000}" name="Tipo de dia"/>
    <tableColumn id="9" xr3:uid="{00000000-0010-0000-0100-000009000000}" name="Dias trabalhado"/>
    <tableColumn id="10" xr3:uid="{00000000-0010-0000-0100-00000A000000}" name="Horas trabalhadas"/>
    <tableColumn id="11" xr3:uid="{00000000-0010-0000-0100-00000B000000}" name="Total corridas"/>
    <tableColumn id="12" xr3:uid="{00000000-0010-0000-0100-00000C000000}" name="KM total"/>
    <tableColumn id="13" xr3:uid="{00000000-0010-0000-0100-00000D000000}" name="Receita total"/>
    <tableColumn id="14" xr3:uid="{00000000-0010-0000-0100-00000E000000}" name="Combustivel total"/>
    <tableColumn id="15" xr3:uid="{00000000-0010-0000-0100-00000F000000}" name="Despesas total"/>
    <tableColumn id="16" xr3:uid="{00000000-0010-0000-0100-000010000000}" name="Receita "/>
    <tableColumn id="17" xr3:uid="{00000000-0010-0000-0100-000011000000}" name="Lucro liquido"/>
    <tableColumn id="18" xr3:uid="{00000000-0010-0000-0100-000012000000}" name="Ganho po KM"/>
    <tableColumn id="19" xr3:uid="{00000000-0010-0000-0100-000013000000}" name="Ganho por hora"/>
    <tableColumn id="20" xr3:uid="{00000000-0010-0000-0100-000014000000}" name="Lucro por hora"/>
    <tableColumn id="21" xr3:uid="{00000000-0010-0000-0100-000015000000}" name="Corrida por hora"/>
    <tableColumn id="22" xr3:uid="{00000000-0010-0000-0100-000016000000}" name="Receita media por corrida"/>
    <tableColumn id="23" xr3:uid="{00000000-0010-0000-0100-000017000000}" name="KM medio corrida"/>
    <tableColumn id="24" xr3:uid="{00000000-0010-0000-0100-000018000000}" name="Lucro medio dia"/>
    <tableColumn id="25" xr3:uid="{00000000-0010-0000-0100-000019000000}" name="Corrida por K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B7:AG70"/>
  <sheetViews>
    <sheetView showGridLines="0" tabSelected="1" zoomScale="70" zoomScaleNormal="70" workbookViewId="0">
      <selection activeCell="AE62" sqref="AE62"/>
    </sheetView>
  </sheetViews>
  <sheetFormatPr defaultRowHeight="15" x14ac:dyDescent="0.25"/>
  <cols>
    <col min="1" max="1" width="4.28515625" customWidth="1"/>
    <col min="11" max="11" width="10" customWidth="1"/>
    <col min="22" max="22" width="10.140625" customWidth="1"/>
    <col min="33" max="33" width="10" customWidth="1"/>
  </cols>
  <sheetData>
    <row r="7" spans="3:33" ht="15.75" x14ac:dyDescent="0.25"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</row>
    <row r="8" spans="3:33" ht="15.75" x14ac:dyDescent="0.25">
      <c r="C8" s="33"/>
      <c r="D8" s="32"/>
      <c r="E8" s="32"/>
      <c r="F8" s="33"/>
      <c r="G8" s="32"/>
      <c r="H8" s="32"/>
      <c r="I8" s="33"/>
      <c r="J8" s="32"/>
      <c r="K8" s="32"/>
      <c r="L8" s="33"/>
      <c r="M8" s="32"/>
      <c r="N8" s="32"/>
      <c r="O8" s="33"/>
      <c r="P8" s="32"/>
      <c r="Q8" s="32"/>
      <c r="R8" s="33"/>
      <c r="S8" s="32"/>
      <c r="T8" s="32"/>
      <c r="U8" s="33"/>
      <c r="V8" s="32"/>
      <c r="W8" s="32"/>
    </row>
    <row r="9" spans="3:33" ht="15.75" x14ac:dyDescent="0.25">
      <c r="C9" s="33"/>
      <c r="D9" s="32"/>
      <c r="E9" s="32"/>
      <c r="F9" s="33"/>
      <c r="G9" s="32"/>
      <c r="H9" s="32"/>
      <c r="I9" s="33"/>
      <c r="J9" s="32"/>
      <c r="K9" s="32"/>
      <c r="L9" s="33"/>
      <c r="M9" s="32"/>
      <c r="N9" s="32"/>
      <c r="O9" s="33"/>
      <c r="P9" s="32"/>
      <c r="Q9" s="32"/>
      <c r="R9" s="33"/>
      <c r="S9" s="32"/>
      <c r="T9" s="32"/>
      <c r="U9" s="33"/>
      <c r="V9" s="32"/>
      <c r="W9" s="32"/>
    </row>
    <row r="10" spans="3:33" ht="15.75" x14ac:dyDescent="0.25">
      <c r="C10" s="33"/>
      <c r="D10" s="63" t="s">
        <v>0</v>
      </c>
      <c r="E10" s="63"/>
      <c r="F10" s="63"/>
      <c r="G10" s="37"/>
      <c r="H10" s="37"/>
      <c r="I10" s="53" t="s">
        <v>1</v>
      </c>
      <c r="J10" s="53"/>
      <c r="K10" s="53"/>
      <c r="L10" s="32"/>
      <c r="M10" s="36"/>
      <c r="N10" s="63" t="s">
        <v>2</v>
      </c>
      <c r="O10" s="63"/>
      <c r="P10" s="63"/>
      <c r="Q10" s="36"/>
      <c r="R10" s="32"/>
      <c r="S10" s="38"/>
      <c r="T10" s="53" t="s">
        <v>3</v>
      </c>
      <c r="U10" s="53"/>
      <c r="V10" s="53"/>
      <c r="W10" s="38"/>
      <c r="Y10" s="51" t="s">
        <v>4</v>
      </c>
      <c r="Z10" s="51"/>
      <c r="AA10" s="51"/>
      <c r="AE10" s="53" t="s">
        <v>5</v>
      </c>
      <c r="AF10" s="53"/>
      <c r="AG10" s="53"/>
    </row>
    <row r="11" spans="3:33" ht="15.75" x14ac:dyDescent="0.25">
      <c r="C11" s="33"/>
      <c r="D11" s="63"/>
      <c r="E11" s="63"/>
      <c r="F11" s="63"/>
      <c r="G11" s="37"/>
      <c r="H11" s="37"/>
      <c r="I11" s="53"/>
      <c r="J11" s="53"/>
      <c r="K11" s="53"/>
      <c r="L11" s="32"/>
      <c r="M11" s="36"/>
      <c r="N11" s="63"/>
      <c r="O11" s="63"/>
      <c r="P11" s="63"/>
      <c r="Q11" s="36"/>
      <c r="R11" s="32"/>
      <c r="S11" s="38"/>
      <c r="T11" s="53"/>
      <c r="U11" s="53"/>
      <c r="V11" s="53"/>
      <c r="W11" s="38"/>
      <c r="Y11" s="51"/>
      <c r="Z11" s="51"/>
      <c r="AA11" s="51"/>
      <c r="AE11" s="53"/>
      <c r="AF11" s="53"/>
      <c r="AG11" s="53"/>
    </row>
    <row r="12" spans="3:33" ht="15.75" x14ac:dyDescent="0.25">
      <c r="C12" s="33"/>
      <c r="D12" s="64">
        <f>GETPIVOTDATA("Soma de Valor",'Tabela Dinamica'!$A$3)</f>
        <v>11430.83</v>
      </c>
      <c r="E12" s="64"/>
      <c r="F12" s="64"/>
      <c r="G12" s="33"/>
      <c r="H12" s="33"/>
      <c r="I12" s="62">
        <f>GETPIVOTDATA("Soma de Lucro Líquido ",'Tabela Dinamica'!$A$3)</f>
        <v>5541.1600000000017</v>
      </c>
      <c r="J12" s="62"/>
      <c r="K12" s="62"/>
      <c r="L12" s="33"/>
      <c r="M12" s="33"/>
      <c r="N12" s="62">
        <f>'Tabela Dinamica'!A2</f>
        <v>20.004187725631773</v>
      </c>
      <c r="O12" s="62"/>
      <c r="P12" s="62"/>
      <c r="Q12" s="33"/>
      <c r="R12" s="33"/>
      <c r="S12" s="33"/>
      <c r="T12" s="62">
        <f>'Tabela Dinamica'!B2</f>
        <v>0.62485523646496222</v>
      </c>
      <c r="U12" s="62"/>
      <c r="V12" s="62"/>
      <c r="W12" s="33"/>
      <c r="Y12" s="54">
        <f>GETPIVOTDATA("Soma de Km",'Tabela Dinamica'!$A$3)</f>
        <v>8867.909999999998</v>
      </c>
      <c r="Z12" s="54"/>
      <c r="AA12" s="54"/>
      <c r="AE12" s="54">
        <f>GETPIVOTDATA("Soma de Corrida",'Tabela Dinamica'!$A$3)</f>
        <v>422</v>
      </c>
      <c r="AF12" s="54"/>
      <c r="AG12" s="54"/>
    </row>
    <row r="13" spans="3:33" x14ac:dyDescent="0.25">
      <c r="D13" s="64"/>
      <c r="E13" s="64"/>
      <c r="F13" s="64"/>
      <c r="I13" s="62"/>
      <c r="J13" s="62"/>
      <c r="K13" s="62"/>
      <c r="N13" s="62"/>
      <c r="O13" s="62"/>
      <c r="P13" s="62"/>
      <c r="T13" s="62"/>
      <c r="U13" s="62"/>
      <c r="V13" s="62"/>
      <c r="Y13" s="54"/>
      <c r="Z13" s="54"/>
      <c r="AA13" s="54"/>
      <c r="AE13" s="54"/>
      <c r="AF13" s="54"/>
      <c r="AG13" s="54"/>
    </row>
    <row r="14" spans="3:33" ht="18" customHeight="1" x14ac:dyDescent="0.25"/>
    <row r="17" spans="12:20" ht="15" customHeight="1" x14ac:dyDescent="0.25">
      <c r="L17" s="34"/>
      <c r="M17" s="34"/>
      <c r="N17" s="32"/>
      <c r="O17" s="32"/>
    </row>
    <row r="18" spans="12:20" ht="15" customHeight="1" x14ac:dyDescent="0.25">
      <c r="L18" s="34"/>
      <c r="M18" s="34"/>
      <c r="N18" s="32"/>
      <c r="O18" s="32"/>
    </row>
    <row r="19" spans="12:20" ht="15.75" x14ac:dyDescent="0.25">
      <c r="L19" s="32"/>
      <c r="M19" s="32"/>
      <c r="N19" s="32"/>
      <c r="O19" s="32"/>
    </row>
    <row r="20" spans="12:20" ht="15" customHeight="1" x14ac:dyDescent="0.25">
      <c r="L20" s="27"/>
      <c r="M20" s="27"/>
      <c r="N20" s="32"/>
      <c r="O20" s="32"/>
    </row>
    <row r="21" spans="12:20" ht="15" customHeight="1" x14ac:dyDescent="0.25">
      <c r="L21" s="27"/>
      <c r="M21" s="27"/>
      <c r="N21" s="32"/>
      <c r="O21" s="32"/>
    </row>
    <row r="22" spans="12:20" ht="15.75" x14ac:dyDescent="0.25">
      <c r="L22" s="32"/>
      <c r="M22" s="32"/>
      <c r="N22" s="32"/>
      <c r="O22" s="32"/>
    </row>
    <row r="23" spans="12:20" ht="15" customHeight="1" x14ac:dyDescent="0.25">
      <c r="L23" s="32"/>
      <c r="M23" s="32"/>
      <c r="N23" s="32"/>
      <c r="O23" s="32"/>
    </row>
    <row r="24" spans="12:20" ht="15" customHeight="1" x14ac:dyDescent="0.25">
      <c r="L24" s="32"/>
      <c r="M24" s="32"/>
      <c r="N24" s="32"/>
      <c r="O24" s="32"/>
    </row>
    <row r="25" spans="12:20" ht="15.75" x14ac:dyDescent="0.25">
      <c r="L25" s="32"/>
      <c r="M25" s="32"/>
      <c r="N25" s="32"/>
      <c r="O25" s="32"/>
    </row>
    <row r="26" spans="12:20" ht="15" customHeight="1" x14ac:dyDescent="0.25">
      <c r="L26" s="32"/>
      <c r="M26" s="32"/>
      <c r="N26" s="32"/>
      <c r="O26" s="32"/>
    </row>
    <row r="27" spans="12:20" ht="15" customHeight="1" x14ac:dyDescent="0.25">
      <c r="L27" s="32"/>
      <c r="M27" s="32"/>
      <c r="N27" s="32"/>
      <c r="O27" s="32"/>
    </row>
    <row r="29" spans="12:20" x14ac:dyDescent="0.25">
      <c r="T29" t="s">
        <v>6</v>
      </c>
    </row>
    <row r="39" spans="2:30" x14ac:dyDescent="0.25">
      <c r="T39" s="55" t="s">
        <v>7</v>
      </c>
      <c r="U39" s="55"/>
      <c r="V39" s="55"/>
      <c r="W39" s="39"/>
      <c r="X39" s="39"/>
      <c r="Y39" s="39"/>
      <c r="Z39" s="55" t="s">
        <v>8</v>
      </c>
      <c r="AA39" s="55"/>
      <c r="AB39" s="55"/>
      <c r="AC39" s="39"/>
      <c r="AD39" s="39"/>
    </row>
    <row r="40" spans="2:30" x14ac:dyDescent="0.25">
      <c r="T40" s="55"/>
      <c r="U40" s="55"/>
      <c r="V40" s="55"/>
      <c r="W40" s="39"/>
      <c r="X40" s="39"/>
      <c r="Y40" s="39"/>
      <c r="Z40" s="55"/>
      <c r="AA40" s="55"/>
      <c r="AB40" s="55"/>
      <c r="AC40" s="39"/>
      <c r="AD40" s="39"/>
    </row>
    <row r="41" spans="2:30" x14ac:dyDescent="0.25">
      <c r="T41" s="59">
        <f>'Tabela Dinamica'!C2</f>
        <v>27.087274881516588</v>
      </c>
      <c r="U41" s="59"/>
      <c r="V41" s="59"/>
      <c r="W41" s="39"/>
      <c r="X41" s="39"/>
      <c r="Y41" s="39"/>
      <c r="Z41" s="59">
        <f>'Tabela Dinamica'!G2</f>
        <v>0.66415536468006564</v>
      </c>
      <c r="AA41" s="59"/>
      <c r="AB41" s="59"/>
      <c r="AC41" s="39"/>
      <c r="AD41" s="39"/>
    </row>
    <row r="42" spans="2:30" x14ac:dyDescent="0.25">
      <c r="T42" s="59"/>
      <c r="U42" s="59"/>
      <c r="V42" s="59"/>
      <c r="W42" s="39"/>
      <c r="X42" s="39"/>
      <c r="Y42" s="39"/>
      <c r="Z42" s="59"/>
      <c r="AA42" s="59"/>
      <c r="AB42" s="59"/>
      <c r="AC42" s="39"/>
      <c r="AD42" s="39"/>
    </row>
    <row r="43" spans="2:30" x14ac:dyDescent="0.25"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</row>
    <row r="44" spans="2:30" x14ac:dyDescent="0.25"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</row>
    <row r="45" spans="2:30" x14ac:dyDescent="0.25">
      <c r="B45" s="35"/>
      <c r="C45" s="51" t="s">
        <v>9</v>
      </c>
      <c r="D45" s="51"/>
      <c r="E45" s="51"/>
      <c r="F45" s="51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</row>
    <row r="46" spans="2:30" x14ac:dyDescent="0.25">
      <c r="B46" s="35"/>
      <c r="C46" s="51"/>
      <c r="D46" s="51"/>
      <c r="E46" s="51"/>
      <c r="F46" s="51"/>
      <c r="T46" s="55" t="s">
        <v>10</v>
      </c>
      <c r="U46" s="55"/>
      <c r="V46" s="55"/>
      <c r="W46" s="39"/>
      <c r="X46" s="39"/>
      <c r="Y46" s="39"/>
      <c r="Z46" s="55" t="s">
        <v>11</v>
      </c>
      <c r="AA46" s="55"/>
      <c r="AB46" s="55"/>
      <c r="AC46" s="39"/>
      <c r="AD46" s="39"/>
    </row>
    <row r="47" spans="2:30" x14ac:dyDescent="0.25">
      <c r="B47" s="35"/>
      <c r="C47" s="52">
        <f>GETPIVOTDATA("[Measures].[Contagem Distinta de Data]",'Tabela Dinamica'!$E$19)</f>
        <v>35</v>
      </c>
      <c r="D47" s="52"/>
      <c r="E47" s="52"/>
      <c r="F47" s="52"/>
      <c r="T47" s="55"/>
      <c r="U47" s="55"/>
      <c r="V47" s="55"/>
      <c r="W47" s="39"/>
      <c r="X47" s="39"/>
      <c r="Y47" s="39"/>
      <c r="Z47" s="55"/>
      <c r="AA47" s="55"/>
      <c r="AB47" s="55"/>
      <c r="AC47" s="39"/>
      <c r="AD47" s="39"/>
    </row>
    <row r="48" spans="2:30" x14ac:dyDescent="0.25">
      <c r="B48" s="35"/>
      <c r="C48" s="52"/>
      <c r="D48" s="52"/>
      <c r="E48" s="52"/>
      <c r="F48" s="52"/>
      <c r="T48" s="56">
        <f>'Tabela Dinamica'!H2</f>
        <v>1.523465703971119</v>
      </c>
      <c r="U48" s="56"/>
      <c r="V48" s="56"/>
      <c r="W48" s="39"/>
      <c r="X48" s="39"/>
      <c r="Y48" s="39"/>
      <c r="Z48" s="57">
        <f>'Tabela Dinamica'!F2</f>
        <v>21.014004739336489</v>
      </c>
      <c r="AA48" s="58"/>
      <c r="AB48" s="58"/>
      <c r="AC48" s="39"/>
      <c r="AD48" s="39"/>
    </row>
    <row r="49" spans="2:30" x14ac:dyDescent="0.25">
      <c r="B49" s="35"/>
      <c r="C49" s="35"/>
      <c r="D49" s="35"/>
      <c r="E49" s="35"/>
      <c r="F49" s="35"/>
      <c r="T49" s="56"/>
      <c r="U49" s="56"/>
      <c r="V49" s="56"/>
      <c r="W49" s="39"/>
      <c r="X49" s="39"/>
      <c r="Y49" s="39"/>
      <c r="Z49" s="58"/>
      <c r="AA49" s="58"/>
      <c r="AB49" s="58"/>
      <c r="AC49" s="39"/>
      <c r="AD49" s="39"/>
    </row>
    <row r="50" spans="2:30" x14ac:dyDescent="0.25">
      <c r="B50" s="35"/>
      <c r="C50" s="35"/>
      <c r="D50" s="35"/>
      <c r="E50" s="35"/>
      <c r="F50" s="35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</row>
    <row r="51" spans="2:30" x14ac:dyDescent="0.25">
      <c r="B51" s="35"/>
      <c r="C51" s="51" t="s">
        <v>12</v>
      </c>
      <c r="D51" s="51"/>
      <c r="E51" s="51"/>
      <c r="F51" s="51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</row>
    <row r="52" spans="2:30" x14ac:dyDescent="0.25">
      <c r="B52" s="35"/>
      <c r="C52" s="51"/>
      <c r="D52" s="51"/>
      <c r="E52" s="51"/>
      <c r="F52" s="51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</row>
    <row r="53" spans="2:30" ht="15" customHeight="1" x14ac:dyDescent="0.25">
      <c r="B53" s="35"/>
      <c r="C53" s="52">
        <f>GETPIVOTDATA("Soma de Horas",'Tabela Dinamica'!$A$3)</f>
        <v>277</v>
      </c>
      <c r="D53" s="52"/>
      <c r="E53" s="52"/>
      <c r="F53" s="52"/>
      <c r="T53" s="61" t="s">
        <v>13</v>
      </c>
      <c r="U53" s="61"/>
      <c r="V53" s="61"/>
      <c r="W53" s="61"/>
      <c r="X53" s="39"/>
      <c r="Y53" s="39"/>
      <c r="Z53" s="60" t="s">
        <v>14</v>
      </c>
      <c r="AA53" s="60"/>
      <c r="AB53" s="60"/>
      <c r="AC53" s="60"/>
      <c r="AD53" s="39"/>
    </row>
    <row r="54" spans="2:30" ht="15" customHeight="1" x14ac:dyDescent="0.25">
      <c r="B54" s="35"/>
      <c r="C54" s="52"/>
      <c r="D54" s="52"/>
      <c r="E54" s="52"/>
      <c r="F54" s="52"/>
      <c r="T54" s="61"/>
      <c r="U54" s="61"/>
      <c r="V54" s="61"/>
      <c r="W54" s="61"/>
      <c r="X54" s="39"/>
      <c r="Y54" s="39"/>
      <c r="Z54" s="60"/>
      <c r="AA54" s="60"/>
      <c r="AB54" s="60"/>
      <c r="AC54" s="60"/>
      <c r="AD54" s="39"/>
    </row>
    <row r="55" spans="2:30" x14ac:dyDescent="0.25">
      <c r="B55" s="35"/>
      <c r="C55" s="35"/>
      <c r="D55" s="35"/>
      <c r="E55" s="35"/>
      <c r="F55" s="35"/>
      <c r="T55" s="56">
        <f>'Tabela Dinamica'!D2</f>
        <v>8.0463751020778478</v>
      </c>
      <c r="U55" s="56"/>
      <c r="V55" s="56"/>
      <c r="W55" s="39"/>
      <c r="X55" s="39"/>
      <c r="Y55" s="39"/>
      <c r="Z55" s="59">
        <f>'Tabela Dinamica'!E2</f>
        <v>158.31885714285718</v>
      </c>
      <c r="AA55" s="59"/>
      <c r="AB55" s="59"/>
      <c r="AC55" s="39"/>
      <c r="AD55" s="39"/>
    </row>
    <row r="56" spans="2:30" x14ac:dyDescent="0.25">
      <c r="B56" s="35"/>
      <c r="C56" s="35"/>
      <c r="D56" s="35"/>
      <c r="E56" s="35"/>
      <c r="F56" s="35"/>
      <c r="T56" s="56"/>
      <c r="U56" s="56"/>
      <c r="V56" s="56"/>
      <c r="W56" s="39"/>
      <c r="X56" s="39"/>
      <c r="Y56" s="39"/>
      <c r="Z56" s="59"/>
      <c r="AA56" s="59"/>
      <c r="AB56" s="59"/>
      <c r="AC56" s="39"/>
      <c r="AD56" s="39"/>
    </row>
    <row r="57" spans="2:30" x14ac:dyDescent="0.25">
      <c r="B57" s="35"/>
      <c r="C57" s="51" t="s">
        <v>5</v>
      </c>
      <c r="D57" s="51"/>
      <c r="E57" s="51"/>
      <c r="F57" s="51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</row>
    <row r="58" spans="2:30" x14ac:dyDescent="0.25">
      <c r="B58" s="35"/>
      <c r="C58" s="51"/>
      <c r="D58" s="51"/>
      <c r="E58" s="51"/>
      <c r="F58" s="51"/>
    </row>
    <row r="59" spans="2:30" x14ac:dyDescent="0.25">
      <c r="B59" s="35"/>
      <c r="C59" s="52">
        <f>GETPIVOTDATA("Soma de Corrida",'Tabela Dinamica'!$A$3)</f>
        <v>422</v>
      </c>
      <c r="D59" s="52"/>
      <c r="E59" s="52"/>
      <c r="F59" s="52"/>
    </row>
    <row r="60" spans="2:30" x14ac:dyDescent="0.25">
      <c r="B60" s="35"/>
      <c r="C60" s="52"/>
      <c r="D60" s="52"/>
      <c r="E60" s="52"/>
      <c r="F60" s="52"/>
    </row>
    <row r="61" spans="2:30" x14ac:dyDescent="0.25">
      <c r="B61" s="35"/>
      <c r="C61" s="35"/>
      <c r="D61" s="35"/>
      <c r="E61" s="35"/>
      <c r="F61" s="35"/>
    </row>
    <row r="62" spans="2:30" x14ac:dyDescent="0.25">
      <c r="B62" s="35"/>
      <c r="C62" s="35"/>
      <c r="D62" s="35"/>
      <c r="E62" s="35"/>
      <c r="F62" s="35"/>
    </row>
    <row r="63" spans="2:30" x14ac:dyDescent="0.25">
      <c r="B63" s="35"/>
      <c r="C63" s="51" t="s">
        <v>4</v>
      </c>
      <c r="D63" s="51"/>
      <c r="E63" s="51"/>
      <c r="F63" s="51"/>
    </row>
    <row r="64" spans="2:30" x14ac:dyDescent="0.25">
      <c r="B64" s="35"/>
      <c r="C64" s="51"/>
      <c r="D64" s="51"/>
      <c r="E64" s="51"/>
      <c r="F64" s="51"/>
    </row>
    <row r="65" spans="2:33" x14ac:dyDescent="0.25">
      <c r="B65" s="35"/>
      <c r="C65" s="52">
        <f>GETPIVOTDATA("Soma de Km",'Tabela Dinamica'!$A$3)</f>
        <v>8867.909999999998</v>
      </c>
      <c r="D65" s="52"/>
      <c r="E65" s="52"/>
      <c r="F65" s="52"/>
      <c r="AG65" s="35"/>
    </row>
    <row r="66" spans="2:33" x14ac:dyDescent="0.25">
      <c r="B66" s="35"/>
      <c r="C66" s="52"/>
      <c r="D66" s="52"/>
      <c r="E66" s="52"/>
      <c r="F66" s="52"/>
    </row>
    <row r="67" spans="2:33" x14ac:dyDescent="0.25">
      <c r="B67" s="35"/>
      <c r="C67" s="35"/>
      <c r="D67" s="35"/>
      <c r="E67" s="35"/>
      <c r="F67" s="35"/>
    </row>
    <row r="68" spans="2:33" x14ac:dyDescent="0.25">
      <c r="B68" s="35"/>
      <c r="C68" s="35"/>
      <c r="D68" s="35"/>
      <c r="E68" s="35"/>
      <c r="F68" s="35"/>
    </row>
    <row r="69" spans="2:33" x14ac:dyDescent="0.25">
      <c r="B69" s="35"/>
      <c r="C69" s="35"/>
      <c r="D69" s="35"/>
      <c r="E69" s="35"/>
      <c r="F69" s="35"/>
    </row>
    <row r="70" spans="2:33" x14ac:dyDescent="0.25">
      <c r="B70" s="35"/>
      <c r="C70" s="35"/>
      <c r="D70" s="35"/>
      <c r="E70" s="35"/>
      <c r="F70" s="35"/>
    </row>
  </sheetData>
  <mergeCells count="32">
    <mergeCell ref="Y10:AA11"/>
    <mergeCell ref="Y12:AA13"/>
    <mergeCell ref="D10:F11"/>
    <mergeCell ref="D12:F13"/>
    <mergeCell ref="I10:K11"/>
    <mergeCell ref="I12:K13"/>
    <mergeCell ref="N10:P11"/>
    <mergeCell ref="N12:P13"/>
    <mergeCell ref="AE10:AG11"/>
    <mergeCell ref="AE12:AG13"/>
    <mergeCell ref="T39:V40"/>
    <mergeCell ref="T55:V56"/>
    <mergeCell ref="Z46:AB47"/>
    <mergeCell ref="Z48:AB49"/>
    <mergeCell ref="Z55:AB56"/>
    <mergeCell ref="Z53:AC54"/>
    <mergeCell ref="T53:W54"/>
    <mergeCell ref="T46:V47"/>
    <mergeCell ref="T48:V49"/>
    <mergeCell ref="T41:V42"/>
    <mergeCell ref="Z39:AB40"/>
    <mergeCell ref="Z41:AB42"/>
    <mergeCell ref="T10:V11"/>
    <mergeCell ref="T12:V13"/>
    <mergeCell ref="C63:F64"/>
    <mergeCell ref="C65:F66"/>
    <mergeCell ref="C45:F46"/>
    <mergeCell ref="C47:F48"/>
    <mergeCell ref="C51:F52"/>
    <mergeCell ref="C53:F54"/>
    <mergeCell ref="C57:F58"/>
    <mergeCell ref="C59:F60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49B5-DDA8-406D-B3B2-EADE5CAB0292}">
  <dimension ref="A1:M35"/>
  <sheetViews>
    <sheetView showGridLines="0" workbookViewId="0">
      <selection activeCell="M22" sqref="M22"/>
    </sheetView>
  </sheetViews>
  <sheetFormatPr defaultRowHeight="15" x14ac:dyDescent="0.25"/>
  <cols>
    <col min="1" max="1" width="18" bestFit="1" customWidth="1"/>
    <col min="2" max="2" width="16.140625" bestFit="1" customWidth="1"/>
    <col min="3" max="3" width="13.85546875" bestFit="1" customWidth="1"/>
    <col min="4" max="4" width="11.85546875" bestFit="1" customWidth="1"/>
    <col min="5" max="5" width="27" customWidth="1"/>
    <col min="6" max="6" width="13.85546875" bestFit="1" customWidth="1"/>
    <col min="7" max="7" width="14" bestFit="1" customWidth="1"/>
    <col min="8" max="10" width="20.42578125" bestFit="1" customWidth="1"/>
    <col min="11" max="11" width="24.85546875" bestFit="1" customWidth="1"/>
    <col min="12" max="12" width="18" bestFit="1" customWidth="1"/>
    <col min="13" max="13" width="17.42578125" bestFit="1" customWidth="1"/>
    <col min="14" max="14" width="16.140625" bestFit="1" customWidth="1"/>
  </cols>
  <sheetData>
    <row r="1" spans="1:13" x14ac:dyDescent="0.25">
      <c r="A1" s="40" t="s">
        <v>2</v>
      </c>
      <c r="B1" s="40" t="s">
        <v>3</v>
      </c>
      <c r="C1" s="40" t="s">
        <v>7</v>
      </c>
      <c r="D1" s="40" t="s">
        <v>79</v>
      </c>
      <c r="E1" s="40" t="s">
        <v>14</v>
      </c>
      <c r="F1" s="40" t="s">
        <v>11</v>
      </c>
      <c r="G1" s="40" t="s">
        <v>8</v>
      </c>
      <c r="H1" s="40" t="s">
        <v>10</v>
      </c>
      <c r="I1" s="40"/>
      <c r="J1" s="40"/>
      <c r="K1" s="40"/>
      <c r="L1" s="40"/>
      <c r="M1" s="40"/>
    </row>
    <row r="2" spans="1:13" x14ac:dyDescent="0.25">
      <c r="A2" s="41">
        <f>GETPIVOTDATA("Soma de Lucro Líquido ",$A$3)/GETPIVOTDATA("Soma de Horas",$A$3)</f>
        <v>20.004187725631773</v>
      </c>
      <c r="B2" s="41">
        <f>GETPIVOTDATA("Soma de Lucro Líquido ",$A$3)/GETPIVOTDATA("Soma de Km",$A$3)</f>
        <v>0.62485523646496222</v>
      </c>
      <c r="C2" s="41">
        <f>GETPIVOTDATA("Soma de Valor",$A$3)/GETPIVOTDATA("Soma de Corrida",$A$3)</f>
        <v>27.087274881516588</v>
      </c>
      <c r="D2" s="42">
        <f>GETPIVOTDATA("Soma de Km",$A$3)/GETPIVOTDATA("Soma de Litros",$A$3)</f>
        <v>8.0463751020778478</v>
      </c>
      <c r="E2" s="41">
        <f>GETPIVOTDATA("Soma de Lucro Líquido ",$A$3)/GETPIVOTDATA("[Measures].[Contagem Distinta de Data]",$E$19)</f>
        <v>158.31885714285718</v>
      </c>
      <c r="F2" s="43">
        <f>GETPIVOTDATA("Soma de Km",$A$3)/GETPIVOTDATA("Soma de Corrida",$A$3)</f>
        <v>21.014004739336489</v>
      </c>
      <c r="G2" s="41">
        <f>K4/GETPIVOTDATA("Soma de Km",$A$3)</f>
        <v>0.66415536468006564</v>
      </c>
      <c r="H2" s="42">
        <f>GETPIVOTDATA("Soma de Corrida",$A$3)/GETPIVOTDATA("Soma de Horas",$A$3)</f>
        <v>1.523465703971119</v>
      </c>
      <c r="I2" s="40"/>
      <c r="J2" s="40"/>
      <c r="K2" s="40"/>
      <c r="L2" s="40"/>
      <c r="M2" s="40"/>
    </row>
    <row r="3" spans="1:13" x14ac:dyDescent="0.25">
      <c r="A3" s="35" t="s">
        <v>68</v>
      </c>
      <c r="B3" s="35" t="s">
        <v>78</v>
      </c>
      <c r="C3" s="35" t="s">
        <v>69</v>
      </c>
      <c r="D3" s="35" t="s">
        <v>72</v>
      </c>
      <c r="E3" s="35" t="s">
        <v>71</v>
      </c>
      <c r="F3" s="35" t="s">
        <v>77</v>
      </c>
      <c r="G3" s="35" t="s">
        <v>70</v>
      </c>
      <c r="H3" s="35" t="s">
        <v>73</v>
      </c>
      <c r="I3" s="35" t="s">
        <v>74</v>
      </c>
      <c r="J3" s="35" t="s">
        <v>75</v>
      </c>
      <c r="K3" s="40" t="s">
        <v>80</v>
      </c>
      <c r="M3" s="40"/>
    </row>
    <row r="4" spans="1:13" x14ac:dyDescent="0.25">
      <c r="A4" s="46">
        <v>11430.83</v>
      </c>
      <c r="B4" s="46">
        <v>5541.1600000000017</v>
      </c>
      <c r="C4" s="35">
        <v>277</v>
      </c>
      <c r="D4" s="35">
        <v>8867.909999999998</v>
      </c>
      <c r="E4" s="35">
        <v>422</v>
      </c>
      <c r="F4" s="47">
        <v>6745.4900000000007</v>
      </c>
      <c r="G4" s="35">
        <v>1102.1000000000001</v>
      </c>
      <c r="H4" s="46">
        <v>4685.3399999999992</v>
      </c>
      <c r="I4" s="46">
        <v>299.99</v>
      </c>
      <c r="J4" s="46">
        <v>904.33999999999992</v>
      </c>
      <c r="K4" s="41">
        <f>GETPIVOTDATA("Soma de Combustível",$H$3)+GETPIVOTDATA("Soma de Alimentação",$H$3)+GETPIVOTDATA("Soma de Manutenção",$H$3)</f>
        <v>5889.6699999999992</v>
      </c>
      <c r="M4" s="40"/>
    </row>
    <row r="5" spans="1:13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</row>
    <row r="7" spans="1:13" x14ac:dyDescent="0.25">
      <c r="A7" s="49" t="s">
        <v>76</v>
      </c>
      <c r="B7" s="35" t="s">
        <v>77</v>
      </c>
      <c r="C7" s="35" t="s">
        <v>68</v>
      </c>
      <c r="D7" s="40"/>
      <c r="E7" s="49" t="s">
        <v>76</v>
      </c>
      <c r="F7" s="35" t="s">
        <v>68</v>
      </c>
    </row>
    <row r="8" spans="1:13" x14ac:dyDescent="0.25">
      <c r="A8" s="50" t="s">
        <v>83</v>
      </c>
      <c r="B8" s="46">
        <v>1741.4799999999998</v>
      </c>
      <c r="C8" s="46">
        <v>2730.93</v>
      </c>
      <c r="E8" s="50" t="s">
        <v>83</v>
      </c>
      <c r="F8" s="46">
        <v>2730.93</v>
      </c>
    </row>
    <row r="9" spans="1:13" x14ac:dyDescent="0.25">
      <c r="A9" s="50" t="s">
        <v>84</v>
      </c>
      <c r="B9" s="46">
        <v>606.41999999999996</v>
      </c>
      <c r="C9" s="46">
        <v>1791.3799999999997</v>
      </c>
      <c r="E9" s="50" t="s">
        <v>84</v>
      </c>
      <c r="F9" s="46">
        <v>1791.3799999999997</v>
      </c>
    </row>
    <row r="10" spans="1:13" x14ac:dyDescent="0.25">
      <c r="A10" s="50" t="s">
        <v>82</v>
      </c>
      <c r="B10" s="46">
        <v>2032.6900000000003</v>
      </c>
      <c r="C10" s="46">
        <v>3243.7699999999991</v>
      </c>
      <c r="E10" s="50" t="s">
        <v>82</v>
      </c>
      <c r="F10" s="46">
        <v>3243.7699999999991</v>
      </c>
    </row>
    <row r="11" spans="1:13" x14ac:dyDescent="0.25">
      <c r="A11" s="50" t="s">
        <v>85</v>
      </c>
      <c r="B11" s="46">
        <v>2364.9</v>
      </c>
      <c r="C11" s="46">
        <v>3664.75</v>
      </c>
      <c r="E11" s="50" t="s">
        <v>85</v>
      </c>
      <c r="F11" s="46">
        <v>3664.75</v>
      </c>
    </row>
    <row r="12" spans="1:13" x14ac:dyDescent="0.25">
      <c r="A12" s="50" t="s">
        <v>17</v>
      </c>
      <c r="B12" s="46">
        <v>6745.49</v>
      </c>
      <c r="C12" s="46">
        <v>11430.829999999998</v>
      </c>
      <c r="E12" s="50" t="s">
        <v>17</v>
      </c>
      <c r="F12" s="46">
        <v>11430.829999999998</v>
      </c>
    </row>
    <row r="14" spans="1:13" x14ac:dyDescent="0.25">
      <c r="A14" s="49" t="s">
        <v>76</v>
      </c>
      <c r="B14" s="35" t="s">
        <v>77</v>
      </c>
      <c r="C14" s="35" t="s">
        <v>68</v>
      </c>
      <c r="E14" s="49" t="s">
        <v>76</v>
      </c>
      <c r="F14" s="35" t="s">
        <v>71</v>
      </c>
    </row>
    <row r="15" spans="1:13" x14ac:dyDescent="0.25">
      <c r="A15" s="50" t="s">
        <v>87</v>
      </c>
      <c r="B15" s="46">
        <v>1830.0200000000002</v>
      </c>
      <c r="C15" s="46">
        <v>3370.82</v>
      </c>
      <c r="E15" s="50">
        <v>99</v>
      </c>
      <c r="F15" s="35">
        <v>198</v>
      </c>
    </row>
    <row r="16" spans="1:13" x14ac:dyDescent="0.25">
      <c r="A16" s="50" t="s">
        <v>88</v>
      </c>
      <c r="B16" s="46">
        <v>542.29999999999995</v>
      </c>
      <c r="C16" s="46">
        <v>975.84999999999991</v>
      </c>
      <c r="E16" s="50" t="s">
        <v>46</v>
      </c>
      <c r="F16" s="35">
        <v>224</v>
      </c>
    </row>
    <row r="17" spans="1:6" x14ac:dyDescent="0.25">
      <c r="A17" s="50" t="s">
        <v>86</v>
      </c>
      <c r="B17" s="46">
        <v>1731.92</v>
      </c>
      <c r="C17" s="46">
        <v>2993.89</v>
      </c>
      <c r="E17" s="50" t="s">
        <v>17</v>
      </c>
      <c r="F17" s="35">
        <v>422</v>
      </c>
    </row>
    <row r="18" spans="1:6" x14ac:dyDescent="0.25">
      <c r="A18" s="50" t="s">
        <v>89</v>
      </c>
      <c r="B18" s="46">
        <v>975.34999999999991</v>
      </c>
      <c r="C18" s="46">
        <v>1581.96</v>
      </c>
    </row>
    <row r="19" spans="1:6" x14ac:dyDescent="0.25">
      <c r="A19" s="50" t="s">
        <v>90</v>
      </c>
      <c r="B19" s="46">
        <v>1665.8999999999999</v>
      </c>
      <c r="C19" s="46">
        <v>2508.31</v>
      </c>
      <c r="E19" t="s">
        <v>81</v>
      </c>
    </row>
    <row r="20" spans="1:6" x14ac:dyDescent="0.25">
      <c r="A20" s="50" t="s">
        <v>17</v>
      </c>
      <c r="B20" s="46">
        <v>6745.49</v>
      </c>
      <c r="C20" s="46">
        <v>11430.83</v>
      </c>
      <c r="E20" s="48">
        <v>35</v>
      </c>
    </row>
    <row r="35" spans="9:10" x14ac:dyDescent="0.25">
      <c r="I35" s="44"/>
      <c r="J35" s="44"/>
    </row>
  </sheetData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0"/>
  <sheetViews>
    <sheetView zoomScale="85" zoomScaleNormal="85" workbookViewId="0">
      <selection activeCell="X75" sqref="X75"/>
    </sheetView>
  </sheetViews>
  <sheetFormatPr defaultColWidth="8.5703125" defaultRowHeight="15" x14ac:dyDescent="0.25"/>
  <cols>
    <col min="1" max="2" width="11.140625" style="13" customWidth="1"/>
    <col min="3" max="3" width="10.5703125" style="31" customWidth="1"/>
    <col min="4" max="4" width="10.5703125" style="13" customWidth="1"/>
    <col min="5" max="5" width="11.140625" style="13" customWidth="1"/>
    <col min="6" max="6" width="10.5703125" style="13" customWidth="1"/>
    <col min="7" max="7" width="16.7109375" style="13" customWidth="1"/>
    <col min="8" max="8" width="15.42578125" style="13" customWidth="1"/>
    <col min="9" max="9" width="13.42578125" style="13" customWidth="1"/>
    <col min="10" max="10" width="9.5703125" style="13" customWidth="1"/>
    <col min="11" max="11" width="11.85546875" style="13" customWidth="1"/>
    <col min="12" max="12" width="10.7109375" style="14" customWidth="1"/>
    <col min="13" max="13" width="15.140625" style="15" customWidth="1"/>
    <col min="14" max="14" width="16.140625" style="15" customWidth="1"/>
    <col min="15" max="15" width="8.7109375" style="13" customWidth="1"/>
    <col min="16" max="16" width="19.5703125" style="13" customWidth="1"/>
    <col min="17" max="17" width="16.140625" style="15" customWidth="1"/>
    <col min="18" max="19" width="16" style="15" customWidth="1"/>
    <col min="20" max="20" width="10.42578125" style="13" customWidth="1"/>
    <col min="21" max="21" width="18.85546875" style="15" customWidth="1"/>
    <col min="22" max="22" width="16.42578125" style="15" customWidth="1"/>
    <col min="23" max="23" width="21.7109375" style="16" customWidth="1"/>
    <col min="24" max="24" width="19.5703125" style="23" customWidth="1"/>
    <col min="25" max="25" width="8.5703125" style="12"/>
    <col min="26" max="26" width="12.140625" style="12" bestFit="1" customWidth="1"/>
    <col min="27" max="16384" width="8.5703125" style="12"/>
  </cols>
  <sheetData>
    <row r="1" spans="1:24" ht="25.5" x14ac:dyDescent="0.25">
      <c r="A1" s="30" t="s">
        <v>24</v>
      </c>
      <c r="B1" s="28" t="s">
        <v>25</v>
      </c>
      <c r="C1" s="29" t="s">
        <v>26</v>
      </c>
      <c r="D1" s="28" t="s">
        <v>27</v>
      </c>
      <c r="E1" s="28" t="s">
        <v>28</v>
      </c>
      <c r="F1" s="29" t="s">
        <v>29</v>
      </c>
      <c r="G1" s="29" t="s">
        <v>30</v>
      </c>
      <c r="H1" s="17" t="s">
        <v>31</v>
      </c>
      <c r="I1" s="17" t="s">
        <v>32</v>
      </c>
      <c r="J1" s="17" t="s">
        <v>33</v>
      </c>
      <c r="K1" s="17" t="s">
        <v>34</v>
      </c>
      <c r="L1" s="18" t="s">
        <v>35</v>
      </c>
      <c r="M1" s="19" t="s">
        <v>20</v>
      </c>
      <c r="N1" s="19" t="s">
        <v>36</v>
      </c>
      <c r="O1" s="17" t="s">
        <v>16</v>
      </c>
      <c r="P1" s="17" t="s">
        <v>37</v>
      </c>
      <c r="Q1" s="19" t="s">
        <v>38</v>
      </c>
      <c r="R1" s="19" t="s">
        <v>39</v>
      </c>
      <c r="S1" s="2" t="s">
        <v>40</v>
      </c>
      <c r="T1" s="17" t="s">
        <v>41</v>
      </c>
      <c r="U1" s="19" t="s">
        <v>42</v>
      </c>
      <c r="V1" s="20" t="s">
        <v>43</v>
      </c>
      <c r="W1" s="21" t="s">
        <v>44</v>
      </c>
      <c r="X1" s="24" t="s">
        <v>45</v>
      </c>
    </row>
    <row r="2" spans="1:24" x14ac:dyDescent="0.25">
      <c r="A2" s="26">
        <v>46088</v>
      </c>
      <c r="B2" s="26" t="str">
        <f>IF(A2="","",TEXT(A2,"d"))</f>
        <v>7</v>
      </c>
      <c r="C2" s="31" t="str">
        <f t="shared" ref="C2:C15" si="0">IF(A2="","",TEXT(A2,"mmmm"))</f>
        <v>março</v>
      </c>
      <c r="D2" s="13">
        <f t="shared" ref="D2:D15" si="1">IF(A2="","",YEAR(A2))</f>
        <v>2026</v>
      </c>
      <c r="E2" s="13" t="str">
        <f t="shared" ref="E2:E33" si="2">IF(A2="","",TEXT(A2,"ddd"))</f>
        <v>sáb</v>
      </c>
      <c r="F2" s="13">
        <f t="shared" ref="F2:F15" si="3">IF(A2="","",WEEKNUM(A2))</f>
        <v>10</v>
      </c>
      <c r="G2" s="13" t="str">
        <f t="shared" ref="G2:G15" si="4">IF(A2="","",IF(WEEKDAY(A2,2)&gt;5,"Final de semana","Semana"))</f>
        <v>Final de semana</v>
      </c>
      <c r="H2" s="13" t="s">
        <v>46</v>
      </c>
      <c r="I2" s="13">
        <v>9</v>
      </c>
      <c r="J2" s="13">
        <v>200</v>
      </c>
      <c r="K2" s="13">
        <v>7</v>
      </c>
      <c r="L2" s="14">
        <v>233.52</v>
      </c>
      <c r="M2" s="15">
        <f>SUM(Tabela1[[#This Row],[Valor]]-Tabela1[[#This Row],[Combustível]])</f>
        <v>98.820000000000022</v>
      </c>
      <c r="N2" s="15">
        <v>134.69999999999999</v>
      </c>
      <c r="O2" s="13">
        <v>15</v>
      </c>
      <c r="P2" s="13" t="s">
        <v>47</v>
      </c>
      <c r="Q2" s="15">
        <v>0</v>
      </c>
      <c r="R2" s="15">
        <v>0</v>
      </c>
      <c r="S2" s="15">
        <f>SUM(Tabela1[[#This Row],[Valor]]-Tabela1[[#This Row],[Alimentação]]-Tabela1[[#This Row],[Manutenção]]-Tabela1[[#This Row],[Combustível]])</f>
        <v>98.820000000000022</v>
      </c>
      <c r="T2" s="13">
        <v>9.6</v>
      </c>
      <c r="U2" s="15">
        <f>IFERROR(Tabela1[[#This Row],[Km]]/Tabela1[[#This Row],[Horas]],"")</f>
        <v>28.571428571428573</v>
      </c>
      <c r="V2" s="15">
        <f>IFERROR(Tabela1[[#This Row],[Valor]]/Tabela1[[#This Row],[Km]],"")</f>
        <v>1.1676</v>
      </c>
      <c r="W2" s="16">
        <f>IFERROR(Tabela1[[#This Row],[Valor]]/Tabela1[[#This Row],[Corrida]],"")</f>
        <v>25.946666666666669</v>
      </c>
      <c r="X2" s="23">
        <f>IFERROR(Tabela1[[#This Row],[Km]]/Tabela1[[#This Row],[Corrida]],"")</f>
        <v>22.222222222222221</v>
      </c>
    </row>
    <row r="3" spans="1:24" x14ac:dyDescent="0.25">
      <c r="A3" s="26">
        <v>46088</v>
      </c>
      <c r="B3" s="26" t="str">
        <f t="shared" ref="B3:B64" si="5">IF(A3="","",TEXT(A3,"d"))</f>
        <v>7</v>
      </c>
      <c r="C3" s="31" t="str">
        <f t="shared" si="0"/>
        <v>março</v>
      </c>
      <c r="D3" s="13">
        <f t="shared" si="1"/>
        <v>2026</v>
      </c>
      <c r="E3" s="13" t="str">
        <f t="shared" si="2"/>
        <v>sáb</v>
      </c>
      <c r="F3" s="13">
        <f t="shared" si="3"/>
        <v>10</v>
      </c>
      <c r="G3" s="13" t="str">
        <f t="shared" si="4"/>
        <v>Final de semana</v>
      </c>
      <c r="H3" s="13">
        <v>99</v>
      </c>
      <c r="I3" s="13">
        <v>3</v>
      </c>
      <c r="J3" s="13">
        <v>81.599999999999994</v>
      </c>
      <c r="K3" s="13">
        <v>1</v>
      </c>
      <c r="L3" s="14">
        <v>106.93</v>
      </c>
      <c r="M3" s="15">
        <f>SUM(Tabela1[[#This Row],[Valor]]-Tabela1[[#This Row],[Combustível]])</f>
        <v>106.93</v>
      </c>
      <c r="N3" s="15">
        <v>0</v>
      </c>
      <c r="O3" s="13">
        <v>0</v>
      </c>
      <c r="P3" s="13" t="s">
        <v>47</v>
      </c>
      <c r="Q3" s="15">
        <v>0</v>
      </c>
      <c r="R3" s="15">
        <v>0</v>
      </c>
      <c r="S3" s="15">
        <f>SUM(Tabela1[[#This Row],[Valor]]-Tabela1[[#This Row],[Alimentação]]-Tabela1[[#This Row],[Manutenção]]-Tabela1[[#This Row],[Combustível]])</f>
        <v>106.93</v>
      </c>
      <c r="T3" s="13">
        <v>9.6</v>
      </c>
      <c r="U3" s="15">
        <f>IFERROR(Tabela1[[#This Row],[Km]]/Tabela1[[#This Row],[Horas]],"")</f>
        <v>81.599999999999994</v>
      </c>
      <c r="V3" s="15">
        <f>IFERROR(Tabela1[[#This Row],[Valor]]/Tabela1[[#This Row],[Km]],"")</f>
        <v>1.3104166666666668</v>
      </c>
      <c r="W3" s="16">
        <f>IFERROR(Tabela1[[#This Row],[Valor]]/Tabela1[[#This Row],[Corrida]],"")</f>
        <v>35.643333333333338</v>
      </c>
      <c r="X3" s="23">
        <f>IFERROR(Tabela1[[#This Row],[Km]]/Tabela1[[#This Row],[Corrida]],"")</f>
        <v>27.2</v>
      </c>
    </row>
    <row r="4" spans="1:24" x14ac:dyDescent="0.25">
      <c r="A4" s="26">
        <v>46093</v>
      </c>
      <c r="B4" s="26" t="str">
        <f t="shared" si="5"/>
        <v>12</v>
      </c>
      <c r="C4" s="31" t="str">
        <f t="shared" si="0"/>
        <v>março</v>
      </c>
      <c r="D4" s="13">
        <f t="shared" si="1"/>
        <v>2026</v>
      </c>
      <c r="E4" s="13" t="str">
        <f t="shared" si="2"/>
        <v>qui</v>
      </c>
      <c r="F4" s="13">
        <f t="shared" si="3"/>
        <v>11</v>
      </c>
      <c r="G4" s="13" t="str">
        <f t="shared" si="4"/>
        <v>Semana</v>
      </c>
      <c r="H4" s="13">
        <v>99</v>
      </c>
      <c r="I4" s="13">
        <v>13</v>
      </c>
      <c r="J4" s="13">
        <v>110.4</v>
      </c>
      <c r="K4" s="13">
        <v>4</v>
      </c>
      <c r="L4" s="14">
        <v>192.08</v>
      </c>
      <c r="M4" s="15">
        <f>SUM(Tabela1[[#This Row],[Valor]]-Tabela1[[#This Row],[Combustível]])</f>
        <v>92.860000000000014</v>
      </c>
      <c r="N4" s="15">
        <v>99.22</v>
      </c>
      <c r="O4" s="13">
        <v>20</v>
      </c>
      <c r="P4" s="13" t="s">
        <v>47</v>
      </c>
      <c r="Q4" s="15">
        <v>11.99</v>
      </c>
      <c r="R4" s="15">
        <v>0</v>
      </c>
      <c r="S4" s="15">
        <f>SUM(Tabela1[[#This Row],[Valor]]-Tabela1[[#This Row],[Alimentação]]-Tabela1[[#This Row],[Manutenção]]-Tabela1[[#This Row],[Combustível]])</f>
        <v>80.87</v>
      </c>
      <c r="T4" s="13">
        <v>9</v>
      </c>
      <c r="U4" s="15">
        <f>IFERROR(Tabela1[[#This Row],[Km]]/Tabela1[[#This Row],[Horas]],"")</f>
        <v>27.6</v>
      </c>
      <c r="V4" s="15">
        <f>IFERROR(Tabela1[[#This Row],[Valor]]/Tabela1[[#This Row],[Km]],"")</f>
        <v>1.7398550724637682</v>
      </c>
      <c r="W4" s="16">
        <f>IFERROR(Tabela1[[#This Row],[Valor]]/Tabela1[[#This Row],[Corrida]],"")</f>
        <v>14.775384615384617</v>
      </c>
      <c r="X4" s="23">
        <f>IFERROR(Tabela1[[#This Row],[Km]]/Tabela1[[#This Row],[Corrida]],"")</f>
        <v>8.4923076923076923</v>
      </c>
    </row>
    <row r="5" spans="1:24" x14ac:dyDescent="0.25">
      <c r="A5" s="26">
        <v>46093</v>
      </c>
      <c r="B5" s="26" t="str">
        <f t="shared" si="5"/>
        <v>12</v>
      </c>
      <c r="C5" s="31" t="str">
        <f t="shared" si="0"/>
        <v>março</v>
      </c>
      <c r="D5" s="13">
        <f t="shared" si="1"/>
        <v>2026</v>
      </c>
      <c r="E5" s="13" t="str">
        <f t="shared" si="2"/>
        <v>qui</v>
      </c>
      <c r="F5" s="13">
        <f t="shared" si="3"/>
        <v>11</v>
      </c>
      <c r="G5" s="13" t="str">
        <f t="shared" si="4"/>
        <v>Semana</v>
      </c>
      <c r="H5" s="13" t="s">
        <v>46</v>
      </c>
      <c r="I5" s="13">
        <v>9</v>
      </c>
      <c r="J5" s="13">
        <v>138</v>
      </c>
      <c r="K5" s="13">
        <v>5</v>
      </c>
      <c r="L5" s="14">
        <v>139.38</v>
      </c>
      <c r="M5" s="15">
        <f>SUM(Tabela1[[#This Row],[Valor]]-Tabela1[[#This Row],[Combustível]])</f>
        <v>39.58</v>
      </c>
      <c r="N5" s="15">
        <v>99.8</v>
      </c>
      <c r="O5" s="13">
        <v>20</v>
      </c>
      <c r="P5" s="13" t="s">
        <v>47</v>
      </c>
      <c r="Q5" s="15">
        <v>0</v>
      </c>
      <c r="R5" s="15">
        <v>0</v>
      </c>
      <c r="S5" s="15">
        <f>SUM(Tabela1[[#This Row],[Valor]]-Tabela1[[#This Row],[Alimentação]]-Tabela1[[#This Row],[Manutenção]]-Tabela1[[#This Row],[Combustível]])</f>
        <v>39.58</v>
      </c>
      <c r="T5" s="13">
        <v>9</v>
      </c>
      <c r="U5" s="15">
        <f>IFERROR(Tabela1[[#This Row],[Km]]/Tabela1[[#This Row],[Horas]],"")</f>
        <v>27.6</v>
      </c>
      <c r="V5" s="15">
        <f>IFERROR(Tabela1[[#This Row],[Valor]]/Tabela1[[#This Row],[Km]],"")</f>
        <v>1.01</v>
      </c>
      <c r="W5" s="16">
        <f>IFERROR(Tabela1[[#This Row],[Valor]]/Tabela1[[#This Row],[Corrida]],"")</f>
        <v>15.486666666666666</v>
      </c>
      <c r="X5" s="23">
        <f>IFERROR(Tabela1[[#This Row],[Km]]/Tabela1[[#This Row],[Corrida]],"")</f>
        <v>15.333333333333334</v>
      </c>
    </row>
    <row r="6" spans="1:24" x14ac:dyDescent="0.25">
      <c r="A6" s="26">
        <v>46094</v>
      </c>
      <c r="B6" s="26" t="str">
        <f t="shared" si="5"/>
        <v>13</v>
      </c>
      <c r="C6" s="31" t="str">
        <f t="shared" si="0"/>
        <v>março</v>
      </c>
      <c r="D6" s="13">
        <f t="shared" si="1"/>
        <v>2026</v>
      </c>
      <c r="E6" s="13" t="str">
        <f t="shared" si="2"/>
        <v>sex</v>
      </c>
      <c r="F6" s="13">
        <f t="shared" si="3"/>
        <v>11</v>
      </c>
      <c r="G6" s="13" t="str">
        <f t="shared" si="4"/>
        <v>Semana</v>
      </c>
      <c r="H6" s="13">
        <v>99</v>
      </c>
      <c r="I6" s="13">
        <v>12</v>
      </c>
      <c r="J6" s="13">
        <v>129.9</v>
      </c>
      <c r="K6" s="13">
        <v>3</v>
      </c>
      <c r="L6" s="14">
        <v>169.36</v>
      </c>
      <c r="M6" s="15">
        <f>SUM(Tabela1[[#This Row],[Valor]]-Tabela1[[#This Row],[Combustível]])</f>
        <v>120.46000000000001</v>
      </c>
      <c r="N6" s="15">
        <v>48.9</v>
      </c>
      <c r="O6" s="13">
        <v>10</v>
      </c>
      <c r="P6" s="13" t="s">
        <v>47</v>
      </c>
      <c r="Q6" s="15">
        <v>20</v>
      </c>
      <c r="R6" s="15">
        <v>0</v>
      </c>
      <c r="S6" s="15">
        <f>SUM(Tabela1[[#This Row],[Valor]]-Tabela1[[#This Row],[Alimentação]]-Tabela1[[#This Row],[Manutenção]]-Tabela1[[#This Row],[Combustível]])</f>
        <v>100.46000000000001</v>
      </c>
      <c r="T6" s="13">
        <v>8.9</v>
      </c>
      <c r="U6" s="15">
        <f>IFERROR(Tabela1[[#This Row],[Km]]/Tabela1[[#This Row],[Horas]],"")</f>
        <v>43.300000000000004</v>
      </c>
      <c r="V6" s="15">
        <f>IFERROR(Tabela1[[#This Row],[Valor]]/Tabela1[[#This Row],[Km]],"")</f>
        <v>1.3037721324095459</v>
      </c>
      <c r="W6" s="16">
        <f>IFERROR(Tabela1[[#This Row],[Valor]]/Tabela1[[#This Row],[Corrida]],"")</f>
        <v>14.113333333333335</v>
      </c>
      <c r="X6" s="23">
        <f>IFERROR(Tabela1[[#This Row],[Km]]/Tabela1[[#This Row],[Corrida]],"")</f>
        <v>10.825000000000001</v>
      </c>
    </row>
    <row r="7" spans="1:24" x14ac:dyDescent="0.25">
      <c r="A7" s="26">
        <v>46094</v>
      </c>
      <c r="B7" s="26" t="str">
        <f t="shared" si="5"/>
        <v>13</v>
      </c>
      <c r="C7" s="31" t="str">
        <f t="shared" si="0"/>
        <v>março</v>
      </c>
      <c r="D7" s="13">
        <f t="shared" si="1"/>
        <v>2026</v>
      </c>
      <c r="E7" s="13" t="str">
        <f t="shared" si="2"/>
        <v>sex</v>
      </c>
      <c r="F7" s="13">
        <f t="shared" si="3"/>
        <v>11</v>
      </c>
      <c r="G7" s="13" t="str">
        <f t="shared" si="4"/>
        <v>Semana</v>
      </c>
      <c r="H7" s="13" t="s">
        <v>46</v>
      </c>
      <c r="I7" s="13">
        <v>5</v>
      </c>
      <c r="J7" s="13">
        <v>54.2</v>
      </c>
      <c r="K7" s="13">
        <v>2</v>
      </c>
      <c r="L7" s="14">
        <v>130</v>
      </c>
      <c r="M7" s="15">
        <f>SUM(Tabela1[[#This Row],[Valor]]-Tabela1[[#This Row],[Combustível]])</f>
        <v>81.099999999999994</v>
      </c>
      <c r="N7" s="15">
        <v>48.9</v>
      </c>
      <c r="O7" s="13">
        <v>10</v>
      </c>
      <c r="P7" s="13" t="s">
        <v>47</v>
      </c>
      <c r="Q7" s="15">
        <v>20</v>
      </c>
      <c r="R7" s="15">
        <v>0</v>
      </c>
      <c r="S7" s="15">
        <f>SUM(Tabela1[[#This Row],[Valor]]-Tabela1[[#This Row],[Alimentação]]-Tabela1[[#This Row],[Manutenção]]-Tabela1[[#This Row],[Combustível]])</f>
        <v>61.1</v>
      </c>
      <c r="T7" s="13">
        <v>8.9</v>
      </c>
      <c r="U7" s="15">
        <f>IFERROR(Tabela1[[#This Row],[Km]]/Tabela1[[#This Row],[Horas]],"")</f>
        <v>27.1</v>
      </c>
      <c r="V7" s="15">
        <f>IFERROR(Tabela1[[#This Row],[Valor]]/Tabela1[[#This Row],[Km]],"")</f>
        <v>2.3985239852398523</v>
      </c>
      <c r="W7" s="16">
        <f>IFERROR(Tabela1[[#This Row],[Valor]]/Tabela1[[#This Row],[Corrida]],"")</f>
        <v>26</v>
      </c>
      <c r="X7" s="23">
        <f>IFERROR(Tabela1[[#This Row],[Km]]/Tabela1[[#This Row],[Corrida]],"")</f>
        <v>10.84</v>
      </c>
    </row>
    <row r="8" spans="1:24" x14ac:dyDescent="0.25">
      <c r="A8" s="26">
        <v>46096</v>
      </c>
      <c r="B8" s="26" t="str">
        <f t="shared" si="5"/>
        <v>15</v>
      </c>
      <c r="C8" s="31" t="str">
        <f t="shared" si="0"/>
        <v>março</v>
      </c>
      <c r="D8" s="13">
        <f t="shared" si="1"/>
        <v>2026</v>
      </c>
      <c r="E8" s="13" t="str">
        <f t="shared" si="2"/>
        <v>dom</v>
      </c>
      <c r="F8" s="13">
        <f t="shared" si="3"/>
        <v>12</v>
      </c>
      <c r="G8" s="13" t="str">
        <f t="shared" si="4"/>
        <v>Final de semana</v>
      </c>
      <c r="H8" s="13" t="s">
        <v>46</v>
      </c>
      <c r="I8" s="13">
        <v>5</v>
      </c>
      <c r="J8" s="13">
        <v>125</v>
      </c>
      <c r="K8" s="13">
        <v>4</v>
      </c>
      <c r="L8" s="14">
        <v>117.55</v>
      </c>
      <c r="M8" s="15">
        <f>SUM(Tabela1[[#This Row],[Valor]]-Tabela1[[#This Row],[Combustível]])</f>
        <v>55.669999999999995</v>
      </c>
      <c r="N8" s="15">
        <v>61.88</v>
      </c>
      <c r="O8" s="13">
        <v>10</v>
      </c>
      <c r="P8" s="13" t="s">
        <v>47</v>
      </c>
      <c r="Q8" s="15">
        <v>15</v>
      </c>
      <c r="R8" s="15">
        <v>0</v>
      </c>
      <c r="S8" s="15">
        <f>SUM(Tabela1[[#This Row],[Valor]]-Tabela1[[#This Row],[Alimentação]]-Tabela1[[#This Row],[Manutenção]]-Tabela1[[#This Row],[Combustível]])</f>
        <v>40.669999999999995</v>
      </c>
      <c r="T8" s="13">
        <v>10</v>
      </c>
      <c r="U8" s="15">
        <f>IFERROR(Tabela1[[#This Row],[Km]]/Tabela1[[#This Row],[Horas]],"")</f>
        <v>31.25</v>
      </c>
      <c r="V8" s="15">
        <f>IFERROR(Tabela1[[#This Row],[Valor]]/Tabela1[[#This Row],[Km]],"")</f>
        <v>0.94040000000000001</v>
      </c>
      <c r="W8" s="16">
        <f>IFERROR(Tabela1[[#This Row],[Valor]]/Tabela1[[#This Row],[Corrida]],"")</f>
        <v>23.509999999999998</v>
      </c>
      <c r="X8" s="23">
        <f>IFERROR(Tabela1[[#This Row],[Km]]/Tabela1[[#This Row],[Corrida]],"")</f>
        <v>25</v>
      </c>
    </row>
    <row r="9" spans="1:24" x14ac:dyDescent="0.25">
      <c r="A9" s="26">
        <v>46096</v>
      </c>
      <c r="B9" s="26" t="str">
        <f t="shared" si="5"/>
        <v>15</v>
      </c>
      <c r="C9" s="31" t="str">
        <f t="shared" si="0"/>
        <v>março</v>
      </c>
      <c r="D9" s="13">
        <f t="shared" si="1"/>
        <v>2026</v>
      </c>
      <c r="E9" s="13" t="str">
        <f t="shared" si="2"/>
        <v>dom</v>
      </c>
      <c r="F9" s="13">
        <f t="shared" si="3"/>
        <v>12</v>
      </c>
      <c r="G9" s="13" t="str">
        <f t="shared" si="4"/>
        <v>Final de semana</v>
      </c>
      <c r="H9" s="13">
        <v>99</v>
      </c>
      <c r="I9" s="13">
        <v>7</v>
      </c>
      <c r="J9" s="13">
        <v>176</v>
      </c>
      <c r="K9" s="13">
        <v>4</v>
      </c>
      <c r="L9" s="14">
        <v>279.2</v>
      </c>
      <c r="M9" s="15">
        <f>SUM(Tabela1[[#This Row],[Valor]]-Tabela1[[#This Row],[Combustível]])</f>
        <v>217.32</v>
      </c>
      <c r="N9" s="15">
        <v>61.88</v>
      </c>
      <c r="O9" s="13">
        <v>15</v>
      </c>
      <c r="P9" s="13" t="s">
        <v>47</v>
      </c>
      <c r="Q9" s="15">
        <v>15</v>
      </c>
      <c r="R9" s="15">
        <v>0</v>
      </c>
      <c r="S9" s="15">
        <f>SUM(Tabela1[[#This Row],[Valor]]-Tabela1[[#This Row],[Alimentação]]-Tabela1[[#This Row],[Manutenção]]-Tabela1[[#This Row],[Combustível]])</f>
        <v>202.32</v>
      </c>
      <c r="T9" s="13">
        <v>10</v>
      </c>
      <c r="U9" s="15">
        <f>IFERROR(Tabela1[[#This Row],[Km]]/Tabela1[[#This Row],[Horas]],"")</f>
        <v>44</v>
      </c>
      <c r="V9" s="15">
        <f>IFERROR(Tabela1[[#This Row],[Valor]]/Tabela1[[#This Row],[Km]],"")</f>
        <v>1.5863636363636362</v>
      </c>
      <c r="W9" s="16">
        <f>IFERROR(Tabela1[[#This Row],[Valor]]/Tabela1[[#This Row],[Corrida]],"")</f>
        <v>39.885714285714286</v>
      </c>
      <c r="X9" s="23">
        <f>IFERROR(Tabela1[[#This Row],[Km]]/Tabela1[[#This Row],[Corrida]],"")</f>
        <v>25.142857142857142</v>
      </c>
    </row>
    <row r="10" spans="1:24" x14ac:dyDescent="0.25">
      <c r="A10" s="26">
        <v>46100</v>
      </c>
      <c r="B10" s="26" t="str">
        <f t="shared" si="5"/>
        <v>19</v>
      </c>
      <c r="C10" s="31" t="str">
        <f t="shared" si="0"/>
        <v>março</v>
      </c>
      <c r="D10" s="13">
        <f t="shared" si="1"/>
        <v>2026</v>
      </c>
      <c r="E10" s="13" t="str">
        <f t="shared" si="2"/>
        <v>qui</v>
      </c>
      <c r="F10" s="13">
        <f t="shared" si="3"/>
        <v>12</v>
      </c>
      <c r="G10" s="13" t="str">
        <f t="shared" si="4"/>
        <v>Semana</v>
      </c>
      <c r="H10" s="13" t="s">
        <v>46</v>
      </c>
      <c r="I10" s="13">
        <v>7</v>
      </c>
      <c r="J10" s="13">
        <v>133</v>
      </c>
      <c r="K10" s="13">
        <v>5</v>
      </c>
      <c r="L10" s="14">
        <v>220.25</v>
      </c>
      <c r="M10" s="15">
        <f>SUM(Tabela1[[#This Row],[Valor]]-Tabela1[[#This Row],[Combustível]])</f>
        <v>122.45</v>
      </c>
      <c r="N10" s="15">
        <v>97.8</v>
      </c>
      <c r="O10" s="13">
        <v>20</v>
      </c>
      <c r="P10" s="13" t="s">
        <v>47</v>
      </c>
      <c r="Q10" s="15">
        <v>0</v>
      </c>
      <c r="R10" s="15">
        <v>0</v>
      </c>
      <c r="S10" s="15">
        <f>SUM(Tabela1[[#This Row],[Valor]]-Tabela1[[#This Row],[Alimentação]]-Tabela1[[#This Row],[Manutenção]]-Tabela1[[#This Row],[Combustível]])</f>
        <v>122.45</v>
      </c>
      <c r="T10" s="13">
        <v>9.3000000000000007</v>
      </c>
      <c r="U10" s="15">
        <f>IFERROR(Tabela1[[#This Row],[Km]]/Tabela1[[#This Row],[Horas]],"")</f>
        <v>26.6</v>
      </c>
      <c r="V10" s="15">
        <f>IFERROR(Tabela1[[#This Row],[Valor]]/Tabela1[[#This Row],[Km]],"")</f>
        <v>1.6560150375939851</v>
      </c>
      <c r="W10" s="16">
        <f>IFERROR(Tabela1[[#This Row],[Valor]]/Tabela1[[#This Row],[Corrida]],"")</f>
        <v>31.464285714285715</v>
      </c>
      <c r="X10" s="23">
        <f>IFERROR(Tabela1[[#This Row],[Km]]/Tabela1[[#This Row],[Corrida]],"")</f>
        <v>19</v>
      </c>
    </row>
    <row r="11" spans="1:24" x14ac:dyDescent="0.25">
      <c r="A11" s="26">
        <v>46100</v>
      </c>
      <c r="B11" s="26" t="str">
        <f t="shared" si="5"/>
        <v>19</v>
      </c>
      <c r="C11" s="31" t="str">
        <f t="shared" si="0"/>
        <v>março</v>
      </c>
      <c r="D11" s="13">
        <f t="shared" si="1"/>
        <v>2026</v>
      </c>
      <c r="E11" s="13" t="str">
        <f t="shared" si="2"/>
        <v>qui</v>
      </c>
      <c r="F11" s="13">
        <f t="shared" si="3"/>
        <v>12</v>
      </c>
      <c r="G11" s="13" t="str">
        <f t="shared" si="4"/>
        <v>Semana</v>
      </c>
      <c r="H11" s="13">
        <v>99</v>
      </c>
      <c r="I11" s="13">
        <v>7</v>
      </c>
      <c r="J11" s="13">
        <v>133</v>
      </c>
      <c r="K11" s="13">
        <v>3</v>
      </c>
      <c r="L11" s="14">
        <v>121.75</v>
      </c>
      <c r="M11" s="15">
        <f>SUM(Tabela1[[#This Row],[Valor]]-Tabela1[[#This Row],[Combustível]])</f>
        <v>-27.949999999999989</v>
      </c>
      <c r="N11" s="15">
        <v>149.69999999999999</v>
      </c>
      <c r="O11" s="13">
        <v>30</v>
      </c>
      <c r="P11" s="13" t="s">
        <v>47</v>
      </c>
      <c r="Q11" s="15">
        <v>0</v>
      </c>
      <c r="R11" s="15">
        <v>0</v>
      </c>
      <c r="S11" s="15">
        <f>SUM(Tabela1[[#This Row],[Valor]]-Tabela1[[#This Row],[Alimentação]]-Tabela1[[#This Row],[Manutenção]]-Tabela1[[#This Row],[Combustível]])</f>
        <v>-27.949999999999989</v>
      </c>
      <c r="T11" s="13">
        <v>9.3000000000000007</v>
      </c>
      <c r="U11" s="15">
        <f>IFERROR(Tabela1[[#This Row],[Km]]/Tabela1[[#This Row],[Horas]],"")</f>
        <v>44.333333333333336</v>
      </c>
      <c r="V11" s="15">
        <f>IFERROR(Tabela1[[#This Row],[Valor]]/Tabela1[[#This Row],[Km]],"")</f>
        <v>0.91541353383458646</v>
      </c>
      <c r="W11" s="16">
        <f>IFERROR(Tabela1[[#This Row],[Valor]]/Tabela1[[#This Row],[Corrida]],"")</f>
        <v>17.392857142857142</v>
      </c>
      <c r="X11" s="23">
        <f>IFERROR(Tabela1[[#This Row],[Km]]/Tabela1[[#This Row],[Corrida]],"")</f>
        <v>19</v>
      </c>
    </row>
    <row r="12" spans="1:24" x14ac:dyDescent="0.25">
      <c r="A12" s="26">
        <v>46101</v>
      </c>
      <c r="B12" s="26" t="str">
        <f t="shared" si="5"/>
        <v>20</v>
      </c>
      <c r="C12" s="31" t="str">
        <f t="shared" si="0"/>
        <v>março</v>
      </c>
      <c r="D12" s="13">
        <f t="shared" si="1"/>
        <v>2026</v>
      </c>
      <c r="E12" s="13" t="str">
        <f t="shared" si="2"/>
        <v>sex</v>
      </c>
      <c r="F12" s="13">
        <f t="shared" si="3"/>
        <v>12</v>
      </c>
      <c r="G12" s="13" t="str">
        <f t="shared" si="4"/>
        <v>Semana</v>
      </c>
      <c r="H12" s="13" t="s">
        <v>46</v>
      </c>
      <c r="I12" s="13">
        <v>5</v>
      </c>
      <c r="J12" s="13">
        <v>129.80000000000001</v>
      </c>
      <c r="K12" s="13">
        <v>5</v>
      </c>
      <c r="L12" s="14">
        <v>143.63</v>
      </c>
      <c r="M12" s="15">
        <f>SUM(Tabela1[[#This Row],[Valor]]-Tabela1[[#This Row],[Combustível]])</f>
        <v>68.78</v>
      </c>
      <c r="N12" s="15">
        <v>74.849999999999994</v>
      </c>
      <c r="O12" s="13">
        <v>15</v>
      </c>
      <c r="P12" s="13" t="s">
        <v>47</v>
      </c>
      <c r="Q12" s="15">
        <v>0</v>
      </c>
      <c r="R12" s="15">
        <v>0</v>
      </c>
      <c r="S12" s="15">
        <f>SUM(Tabela1[[#This Row],[Valor]]-Tabela1[[#This Row],[Alimentação]]-Tabela1[[#This Row],[Manutenção]]-Tabela1[[#This Row],[Combustível]])</f>
        <v>68.78</v>
      </c>
      <c r="T12" s="13">
        <v>9.4</v>
      </c>
      <c r="U12" s="15">
        <f>IFERROR(Tabela1[[#This Row],[Km]]/Tabela1[[#This Row],[Horas]],"")</f>
        <v>25.96</v>
      </c>
      <c r="V12" s="15">
        <f>IFERROR(Tabela1[[#This Row],[Valor]]/Tabela1[[#This Row],[Km]],"")</f>
        <v>1.1065485362095531</v>
      </c>
      <c r="W12" s="16">
        <f>IFERROR(Tabela1[[#This Row],[Valor]]/Tabela1[[#This Row],[Corrida]],"")</f>
        <v>28.725999999999999</v>
      </c>
      <c r="X12" s="23">
        <f>IFERROR(Tabela1[[#This Row],[Km]]/Tabela1[[#This Row],[Corrida]],"")</f>
        <v>25.96</v>
      </c>
    </row>
    <row r="13" spans="1:24" x14ac:dyDescent="0.25">
      <c r="A13" s="26">
        <v>46101</v>
      </c>
      <c r="B13" s="26" t="str">
        <f t="shared" si="5"/>
        <v>20</v>
      </c>
      <c r="C13" s="31" t="str">
        <f t="shared" si="0"/>
        <v>março</v>
      </c>
      <c r="D13" s="13">
        <f t="shared" si="1"/>
        <v>2026</v>
      </c>
      <c r="E13" s="13" t="str">
        <f t="shared" si="2"/>
        <v>sex</v>
      </c>
      <c r="F13" s="13">
        <f t="shared" si="3"/>
        <v>12</v>
      </c>
      <c r="G13" s="13" t="str">
        <f t="shared" si="4"/>
        <v>Semana</v>
      </c>
      <c r="H13" s="13">
        <v>99</v>
      </c>
      <c r="I13" s="13">
        <v>4</v>
      </c>
      <c r="J13" s="13">
        <v>102.8</v>
      </c>
      <c r="K13" s="13">
        <v>3</v>
      </c>
      <c r="L13" s="14">
        <v>114.3</v>
      </c>
      <c r="M13" s="15">
        <f>SUM(Tabela1[[#This Row],[Valor]]-Tabela1[[#This Row],[Combustível]])</f>
        <v>64.400000000000006</v>
      </c>
      <c r="N13" s="15">
        <v>49.9</v>
      </c>
      <c r="O13" s="13">
        <v>10</v>
      </c>
      <c r="P13" s="13" t="s">
        <v>47</v>
      </c>
      <c r="Q13" s="15">
        <v>0</v>
      </c>
      <c r="R13" s="15">
        <v>0</v>
      </c>
      <c r="S13" s="15">
        <f>SUM(Tabela1[[#This Row],[Valor]]-Tabela1[[#This Row],[Alimentação]]-Tabela1[[#This Row],[Manutenção]]-Tabela1[[#This Row],[Combustível]])</f>
        <v>64.400000000000006</v>
      </c>
      <c r="T13" s="13">
        <v>9.4</v>
      </c>
      <c r="U13" s="15">
        <f>IFERROR(Tabela1[[#This Row],[Km]]/Tabela1[[#This Row],[Horas]],"")</f>
        <v>34.266666666666666</v>
      </c>
      <c r="V13" s="15">
        <f>IFERROR(Tabela1[[#This Row],[Valor]]/Tabela1[[#This Row],[Km]],"")</f>
        <v>1.1118677042801557</v>
      </c>
      <c r="W13" s="16">
        <f>IFERROR(Tabela1[[#This Row],[Valor]]/Tabela1[[#This Row],[Corrida]],"")</f>
        <v>28.574999999999999</v>
      </c>
      <c r="X13" s="23">
        <f>IFERROR(Tabela1[[#This Row],[Km]]/Tabela1[[#This Row],[Corrida]],"")</f>
        <v>25.7</v>
      </c>
    </row>
    <row r="14" spans="1:24" x14ac:dyDescent="0.25">
      <c r="A14" s="26">
        <v>46103</v>
      </c>
      <c r="B14" s="26" t="str">
        <f t="shared" si="5"/>
        <v>22</v>
      </c>
      <c r="C14" s="31" t="str">
        <f t="shared" si="0"/>
        <v>março</v>
      </c>
      <c r="D14" s="13">
        <f t="shared" si="1"/>
        <v>2026</v>
      </c>
      <c r="E14" s="13" t="str">
        <f t="shared" si="2"/>
        <v>dom</v>
      </c>
      <c r="F14" s="13">
        <f t="shared" si="3"/>
        <v>13</v>
      </c>
      <c r="G14" s="13" t="str">
        <f t="shared" si="4"/>
        <v>Final de semana</v>
      </c>
      <c r="H14" s="13" t="s">
        <v>46</v>
      </c>
      <c r="I14" s="13">
        <v>10</v>
      </c>
      <c r="J14" s="13">
        <v>240.7</v>
      </c>
      <c r="K14" s="13">
        <v>6</v>
      </c>
      <c r="L14" s="14">
        <v>275.08</v>
      </c>
      <c r="M14" s="15">
        <f>SUM(Tabela1[[#This Row],[Valor]]-Tabela1[[#This Row],[Combustível]])</f>
        <v>150.32999999999998</v>
      </c>
      <c r="N14" s="15">
        <v>124.75</v>
      </c>
      <c r="O14" s="13">
        <v>25</v>
      </c>
      <c r="P14" s="13" t="s">
        <v>47</v>
      </c>
      <c r="Q14" s="15">
        <v>0</v>
      </c>
      <c r="R14" s="15">
        <v>0</v>
      </c>
      <c r="S14" s="15">
        <f>SUM(Tabela1[[#This Row],[Valor]]-Tabela1[[#This Row],[Alimentação]]-Tabela1[[#This Row],[Manutenção]]-Tabela1[[#This Row],[Combustível]])</f>
        <v>150.32999999999998</v>
      </c>
      <c r="T14" s="13">
        <v>9.6999999999999993</v>
      </c>
      <c r="U14" s="15">
        <f>IFERROR(Tabela1[[#This Row],[Km]]/Tabela1[[#This Row],[Horas]],"")</f>
        <v>40.116666666666667</v>
      </c>
      <c r="V14" s="15">
        <f>IFERROR(Tabela1[[#This Row],[Valor]]/Tabela1[[#This Row],[Km]],"")</f>
        <v>1.1428334025758204</v>
      </c>
      <c r="W14" s="16">
        <f>IFERROR(Tabela1[[#This Row],[Valor]]/Tabela1[[#This Row],[Corrida]],"")</f>
        <v>27.507999999999999</v>
      </c>
      <c r="X14" s="23">
        <f>IFERROR(Tabela1[[#This Row],[Km]]/Tabela1[[#This Row],[Corrida]],"")</f>
        <v>24.07</v>
      </c>
    </row>
    <row r="15" spans="1:24" x14ac:dyDescent="0.25">
      <c r="A15" s="26">
        <v>46103</v>
      </c>
      <c r="B15" s="26" t="str">
        <f t="shared" si="5"/>
        <v>22</v>
      </c>
      <c r="C15" s="31" t="str">
        <f t="shared" si="0"/>
        <v>março</v>
      </c>
      <c r="D15" s="13">
        <f t="shared" si="1"/>
        <v>2026</v>
      </c>
      <c r="E15" s="13" t="str">
        <f t="shared" si="2"/>
        <v>dom</v>
      </c>
      <c r="F15" s="13">
        <f t="shared" si="3"/>
        <v>13</v>
      </c>
      <c r="G15" s="13" t="str">
        <f t="shared" si="4"/>
        <v>Final de semana</v>
      </c>
      <c r="H15" s="13">
        <v>99</v>
      </c>
      <c r="I15" s="13">
        <v>3</v>
      </c>
      <c r="J15" s="13">
        <v>72.2</v>
      </c>
      <c r="K15" s="13">
        <v>2</v>
      </c>
      <c r="L15" s="22">
        <v>109.83</v>
      </c>
      <c r="M15" s="15">
        <f>SUM(Tabela1[[#This Row],[Valor]]-Tabela1[[#This Row],[Combustível]])</f>
        <v>12.030000000000001</v>
      </c>
      <c r="N15" s="15">
        <v>97.8</v>
      </c>
      <c r="O15" s="13">
        <v>20</v>
      </c>
      <c r="P15" s="13" t="s">
        <v>47</v>
      </c>
      <c r="Q15" s="15">
        <v>0</v>
      </c>
      <c r="R15" s="15">
        <v>0</v>
      </c>
      <c r="S15" s="15">
        <f>SUM(Tabela1[[#This Row],[Valor]]-Tabela1[[#This Row],[Alimentação]]-Tabela1[[#This Row],[Manutenção]]-Tabela1[[#This Row],[Combustível]])</f>
        <v>12.030000000000001</v>
      </c>
      <c r="T15" s="13">
        <v>9.6999999999999993</v>
      </c>
      <c r="U15" s="15">
        <f>IFERROR(Tabela1[[#This Row],[Km]]/Tabela1[[#This Row],[Horas]],"")</f>
        <v>36.1</v>
      </c>
      <c r="V15" s="15">
        <f>IFERROR(Tabela1[[#This Row],[Valor]]/Tabela1[[#This Row],[Km]],"")</f>
        <v>1.5211911357340719</v>
      </c>
      <c r="W15" s="16">
        <f>IFERROR(Tabela1[[#This Row],[Valor]]/Tabela1[[#This Row],[Corrida]],"")</f>
        <v>36.61</v>
      </c>
      <c r="X15" s="23">
        <f>IFERROR(Tabela1[[#This Row],[Km]]/Tabela1[[#This Row],[Corrida]],"")</f>
        <v>24.066666666666666</v>
      </c>
    </row>
    <row r="16" spans="1:24" x14ac:dyDescent="0.25">
      <c r="A16" s="26">
        <v>46107</v>
      </c>
      <c r="B16" s="26" t="str">
        <f t="shared" si="5"/>
        <v>26</v>
      </c>
      <c r="C16" s="31" t="str">
        <f t="shared" ref="C16:C64" si="6">IF(A16="","",TEXT(A16,"mmmm"))</f>
        <v>março</v>
      </c>
      <c r="D16" s="13">
        <f t="shared" ref="D16:D60" si="7">IF(A16="","",YEAR(A16))</f>
        <v>2026</v>
      </c>
      <c r="E16" s="13" t="str">
        <f t="shared" si="2"/>
        <v>qui</v>
      </c>
      <c r="F16" s="13">
        <f t="shared" ref="F16:F60" si="8">IF(A16="","",WEEKNUM(A16))</f>
        <v>13</v>
      </c>
      <c r="G16" s="13" t="str">
        <f t="shared" ref="G16:G60" si="9">IF(A16="","",IF(WEEKDAY(A16,2)&gt;5,"Final de semana","Semana"))</f>
        <v>Semana</v>
      </c>
      <c r="H16" s="13" t="s">
        <v>46</v>
      </c>
      <c r="I16" s="13">
        <v>5</v>
      </c>
      <c r="J16" s="13">
        <v>75.650000000000006</v>
      </c>
      <c r="K16" s="13">
        <v>4</v>
      </c>
      <c r="L16" s="22">
        <v>80.849999999999994</v>
      </c>
      <c r="M16" s="15">
        <f>SUM(Tabela1[[#This Row],[Valor]]-Tabela1[[#This Row],[Combustível]])</f>
        <v>9</v>
      </c>
      <c r="N16" s="15">
        <v>71.849999999999994</v>
      </c>
      <c r="O16" s="13">
        <v>15</v>
      </c>
      <c r="P16" s="13" t="s">
        <v>47</v>
      </c>
      <c r="Q16" s="15">
        <v>0</v>
      </c>
      <c r="R16" s="15">
        <v>0</v>
      </c>
      <c r="S16" s="15">
        <f>SUM(Tabela1[[#This Row],[Valor]]-Tabela1[[#This Row],[Alimentação]]-Tabela1[[#This Row],[Manutenção]]-Tabela1[[#This Row],[Combustível]])</f>
        <v>9</v>
      </c>
      <c r="T16" s="13">
        <v>8.8000000000000007</v>
      </c>
      <c r="U16" s="15">
        <f>IFERROR(Tabela1[[#This Row],[Km]]/Tabela1[[#This Row],[Horas]],"")</f>
        <v>18.912500000000001</v>
      </c>
      <c r="V16" s="15">
        <f>IFERROR(Tabela1[[#This Row],[Valor]]/Tabela1[[#This Row],[Km]],"")</f>
        <v>1.0687376074025114</v>
      </c>
      <c r="W16" s="16">
        <f>IFERROR(Tabela1[[#This Row],[Valor]]/Tabela1[[#This Row],[Corrida]],"")</f>
        <v>16.169999999999998</v>
      </c>
      <c r="X16" s="23">
        <f>IFERROR(Tabela1[[#This Row],[Km]]/Tabela1[[#This Row],[Corrida]],"")</f>
        <v>15.13</v>
      </c>
    </row>
    <row r="17" spans="1:26" x14ac:dyDescent="0.25">
      <c r="A17" s="26">
        <v>46107</v>
      </c>
      <c r="B17" s="26" t="str">
        <f t="shared" si="5"/>
        <v>26</v>
      </c>
      <c r="C17" s="31" t="str">
        <f t="shared" si="6"/>
        <v>março</v>
      </c>
      <c r="D17" s="13">
        <f t="shared" si="7"/>
        <v>2026</v>
      </c>
      <c r="E17" s="13" t="str">
        <f t="shared" si="2"/>
        <v>qui</v>
      </c>
      <c r="F17" s="13">
        <f t="shared" si="8"/>
        <v>13</v>
      </c>
      <c r="G17" s="13" t="str">
        <f t="shared" si="9"/>
        <v>Semana</v>
      </c>
      <c r="H17" s="13">
        <v>99</v>
      </c>
      <c r="I17" s="13">
        <v>5</v>
      </c>
      <c r="J17" s="13">
        <v>75.650000000000006</v>
      </c>
      <c r="K17" s="13">
        <v>2</v>
      </c>
      <c r="L17" s="22">
        <v>65.290000000000006</v>
      </c>
      <c r="M17" s="15">
        <f>SUM(Tabela1[[#This Row],[Valor]]-Tabela1[[#This Row],[Combustível]])</f>
        <v>-6.5599999999999881</v>
      </c>
      <c r="N17" s="15">
        <v>71.849999999999994</v>
      </c>
      <c r="O17" s="13">
        <v>15</v>
      </c>
      <c r="P17" s="13" t="s">
        <v>47</v>
      </c>
      <c r="Q17" s="15">
        <v>0</v>
      </c>
      <c r="R17" s="15">
        <v>0</v>
      </c>
      <c r="S17" s="15">
        <f>SUM(Tabela1[[#This Row],[Valor]]-Tabela1[[#This Row],[Alimentação]]-Tabela1[[#This Row],[Manutenção]]-Tabela1[[#This Row],[Combustível]])</f>
        <v>-6.5599999999999881</v>
      </c>
      <c r="T17" s="13">
        <v>8.8000000000000007</v>
      </c>
      <c r="U17" s="15">
        <f>IFERROR(Tabela1[[#This Row],[Km]]/Tabela1[[#This Row],[Horas]],"")</f>
        <v>37.825000000000003</v>
      </c>
      <c r="V17" s="15">
        <f>IFERROR(Tabela1[[#This Row],[Valor]]/Tabela1[[#This Row],[Km]],"")</f>
        <v>0.86305353602115009</v>
      </c>
      <c r="W17" s="16">
        <f>IFERROR(Tabela1[[#This Row],[Valor]]/Tabela1[[#This Row],[Corrida]],"")</f>
        <v>13.058000000000002</v>
      </c>
      <c r="X17" s="23">
        <f>IFERROR(Tabela1[[#This Row],[Km]]/Tabela1[[#This Row],[Corrida]],"")</f>
        <v>15.13</v>
      </c>
    </row>
    <row r="18" spans="1:26" x14ac:dyDescent="0.25">
      <c r="A18" s="26">
        <v>46109</v>
      </c>
      <c r="B18" s="26" t="str">
        <f t="shared" si="5"/>
        <v>28</v>
      </c>
      <c r="C18" s="31" t="str">
        <f t="shared" si="6"/>
        <v>março</v>
      </c>
      <c r="D18" s="13">
        <f t="shared" si="7"/>
        <v>2026</v>
      </c>
      <c r="E18" s="13" t="str">
        <f t="shared" si="2"/>
        <v>sáb</v>
      </c>
      <c r="F18" s="13">
        <f t="shared" si="8"/>
        <v>13</v>
      </c>
      <c r="G18" s="13" t="str">
        <f t="shared" si="9"/>
        <v>Final de semana</v>
      </c>
      <c r="H18" s="13" t="s">
        <v>46</v>
      </c>
      <c r="I18" s="13">
        <v>8</v>
      </c>
      <c r="J18" s="13">
        <v>205</v>
      </c>
      <c r="K18" s="13">
        <v>8</v>
      </c>
      <c r="L18" s="22">
        <v>390.9</v>
      </c>
      <c r="M18" s="15">
        <f>SUM(Tabela1[[#This Row],[Valor]]-Tabela1[[#This Row],[Combustível]])</f>
        <v>342</v>
      </c>
      <c r="N18" s="15">
        <v>48.9</v>
      </c>
      <c r="O18" s="13">
        <v>10</v>
      </c>
      <c r="P18" s="13" t="s">
        <v>47</v>
      </c>
      <c r="Q18" s="15">
        <v>15</v>
      </c>
      <c r="R18" s="15">
        <v>0</v>
      </c>
      <c r="S18" s="15">
        <f>SUM(Tabela1[[#This Row],[Valor]]-Tabela1[[#This Row],[Alimentação]]-Tabela1[[#This Row],[Manutenção]]-Tabela1[[#This Row],[Combustível]])</f>
        <v>327</v>
      </c>
      <c r="T18" s="13">
        <v>10.1</v>
      </c>
      <c r="U18" s="15">
        <f>IFERROR(Tabela1[[#This Row],[Km]]/Tabela1[[#This Row],[Horas]],"")</f>
        <v>25.625</v>
      </c>
      <c r="V18" s="15">
        <f>IFERROR(Tabela1[[#This Row],[Valor]]/Tabela1[[#This Row],[Km]],"")</f>
        <v>1.9068292682926828</v>
      </c>
      <c r="W18" s="16">
        <f>IFERROR(Tabela1[[#This Row],[Valor]]/Tabela1[[#This Row],[Corrida]],"")</f>
        <v>48.862499999999997</v>
      </c>
      <c r="X18" s="23">
        <f>IFERROR(Tabela1[[#This Row],[Km]]/Tabela1[[#This Row],[Corrida]],"")</f>
        <v>25.625</v>
      </c>
    </row>
    <row r="19" spans="1:26" x14ac:dyDescent="0.25">
      <c r="A19" s="26">
        <v>46109</v>
      </c>
      <c r="B19" s="26" t="str">
        <f t="shared" si="5"/>
        <v>28</v>
      </c>
      <c r="C19" s="31" t="str">
        <f t="shared" si="6"/>
        <v>março</v>
      </c>
      <c r="D19" s="13">
        <f t="shared" si="7"/>
        <v>2026</v>
      </c>
      <c r="E19" s="13" t="str">
        <f t="shared" si="2"/>
        <v>sáb</v>
      </c>
      <c r="F19" s="13">
        <f t="shared" si="8"/>
        <v>13</v>
      </c>
      <c r="G19" s="13" t="str">
        <f t="shared" si="9"/>
        <v>Final de semana</v>
      </c>
      <c r="H19" s="13">
        <v>99</v>
      </c>
      <c r="I19" s="13">
        <v>8</v>
      </c>
      <c r="J19" s="13">
        <v>205</v>
      </c>
      <c r="K19" s="13">
        <v>4</v>
      </c>
      <c r="L19" s="22">
        <v>201.04</v>
      </c>
      <c r="M19" s="15">
        <f>SUM(Tabela1[[#This Row],[Valor]]-Tabela1[[#This Row],[Combustível]])</f>
        <v>152.13999999999999</v>
      </c>
      <c r="N19" s="15">
        <v>48.9</v>
      </c>
      <c r="O19" s="13">
        <v>10</v>
      </c>
      <c r="P19" s="13" t="s">
        <v>47</v>
      </c>
      <c r="Q19" s="15">
        <v>10</v>
      </c>
      <c r="R19" s="15">
        <v>0</v>
      </c>
      <c r="S19" s="15">
        <f>SUM(Tabela1[[#This Row],[Valor]]-Tabela1[[#This Row],[Alimentação]]-Tabela1[[#This Row],[Manutenção]]-Tabela1[[#This Row],[Combustível]])</f>
        <v>142.13999999999999</v>
      </c>
      <c r="T19" s="13">
        <v>10.1</v>
      </c>
      <c r="U19" s="15">
        <f>IFERROR(Tabela1[[#This Row],[Km]]/Tabela1[[#This Row],[Horas]],"")</f>
        <v>51.25</v>
      </c>
      <c r="V19" s="15">
        <f>IFERROR(Tabela1[[#This Row],[Valor]]/Tabela1[[#This Row],[Km]],"")</f>
        <v>0.98068292682926828</v>
      </c>
      <c r="W19" s="16">
        <f>IFERROR(Tabela1[[#This Row],[Valor]]/Tabela1[[#This Row],[Corrida]],"")</f>
        <v>25.13</v>
      </c>
      <c r="X19" s="23">
        <f>IFERROR(Tabela1[[#This Row],[Km]]/Tabela1[[#This Row],[Corrida]],"")</f>
        <v>25.625</v>
      </c>
    </row>
    <row r="20" spans="1:26" x14ac:dyDescent="0.25">
      <c r="A20" s="26">
        <v>46110</v>
      </c>
      <c r="B20" s="26" t="str">
        <f t="shared" si="5"/>
        <v>29</v>
      </c>
      <c r="C20" s="31" t="str">
        <f t="shared" si="6"/>
        <v>março</v>
      </c>
      <c r="D20" s="13">
        <f t="shared" si="7"/>
        <v>2026</v>
      </c>
      <c r="E20" s="13" t="str">
        <f t="shared" si="2"/>
        <v>dom</v>
      </c>
      <c r="F20" s="13">
        <f t="shared" si="8"/>
        <v>14</v>
      </c>
      <c r="G20" s="13" t="str">
        <f t="shared" si="9"/>
        <v>Final de semana</v>
      </c>
      <c r="H20" s="13" t="s">
        <v>46</v>
      </c>
      <c r="I20" s="13">
        <v>5</v>
      </c>
      <c r="J20" s="13">
        <v>106</v>
      </c>
      <c r="K20" s="13">
        <v>5</v>
      </c>
      <c r="L20" s="22">
        <v>165.13</v>
      </c>
      <c r="M20" s="15">
        <f>SUM(Tabela1[[#This Row],[Valor]]-Tabela1[[#This Row],[Combustível]])</f>
        <v>65.91</v>
      </c>
      <c r="N20" s="15">
        <v>99.22</v>
      </c>
      <c r="O20" s="13">
        <v>20</v>
      </c>
      <c r="P20" s="13" t="s">
        <v>47</v>
      </c>
      <c r="Q20" s="15">
        <v>0</v>
      </c>
      <c r="R20" s="15">
        <v>25</v>
      </c>
      <c r="S20" s="15">
        <f>SUM(Tabela1[[#This Row],[Valor]]-Tabela1[[#This Row],[Alimentação]]-Tabela1[[#This Row],[Manutenção]]-Tabela1[[#This Row],[Combustível]])</f>
        <v>40.909999999999997</v>
      </c>
      <c r="T20" s="13">
        <v>10.1</v>
      </c>
      <c r="U20" s="15">
        <f>IFERROR(Tabela1[[#This Row],[Km]]/Tabela1[[#This Row],[Horas]],"")</f>
        <v>21.2</v>
      </c>
      <c r="V20" s="15">
        <f>IFERROR(Tabela1[[#This Row],[Valor]]/Tabela1[[#This Row],[Km]],"")</f>
        <v>1.5578301886792452</v>
      </c>
      <c r="W20" s="16">
        <f>IFERROR(Tabela1[[#This Row],[Valor]]/Tabela1[[#This Row],[Corrida]],"")</f>
        <v>33.025999999999996</v>
      </c>
      <c r="X20" s="23">
        <f>IFERROR(Tabela1[[#This Row],[Km]]/Tabela1[[#This Row],[Corrida]],"")</f>
        <v>21.2</v>
      </c>
    </row>
    <row r="21" spans="1:26" x14ac:dyDescent="0.25">
      <c r="A21" s="26">
        <v>46110</v>
      </c>
      <c r="B21" s="26" t="str">
        <f t="shared" si="5"/>
        <v>29</v>
      </c>
      <c r="C21" s="31" t="str">
        <f t="shared" si="6"/>
        <v>março</v>
      </c>
      <c r="D21" s="13">
        <f t="shared" si="7"/>
        <v>2026</v>
      </c>
      <c r="E21" s="13" t="str">
        <f t="shared" si="2"/>
        <v>dom</v>
      </c>
      <c r="F21" s="13">
        <f t="shared" si="8"/>
        <v>14</v>
      </c>
      <c r="G21" s="13" t="str">
        <f t="shared" si="9"/>
        <v>Final de semana</v>
      </c>
      <c r="H21" s="13">
        <v>99</v>
      </c>
      <c r="I21" s="13">
        <v>5</v>
      </c>
      <c r="J21" s="13">
        <v>106</v>
      </c>
      <c r="K21" s="13">
        <v>3</v>
      </c>
      <c r="L21" s="22">
        <v>114.75</v>
      </c>
      <c r="M21" s="15">
        <f>SUM(Tabela1[[#This Row],[Valor]]-Tabela1[[#This Row],[Combustível]])</f>
        <v>64.75</v>
      </c>
      <c r="N21" s="15">
        <v>50</v>
      </c>
      <c r="O21" s="13">
        <v>10</v>
      </c>
      <c r="P21" s="13" t="s">
        <v>47</v>
      </c>
      <c r="Q21" s="15">
        <v>0</v>
      </c>
      <c r="R21" s="15">
        <v>25</v>
      </c>
      <c r="S21" s="15">
        <f>SUM(Tabela1[[#This Row],[Valor]]-Tabela1[[#This Row],[Alimentação]]-Tabela1[[#This Row],[Manutenção]]-Tabela1[[#This Row],[Combustível]])</f>
        <v>39.75</v>
      </c>
      <c r="T21" s="13">
        <v>10.1</v>
      </c>
      <c r="U21" s="15">
        <f>IFERROR(Tabela1[[#This Row],[Km]]/Tabela1[[#This Row],[Horas]],"")</f>
        <v>35.333333333333336</v>
      </c>
      <c r="V21" s="15">
        <f>IFERROR(Tabela1[[#This Row],[Valor]]/Tabela1[[#This Row],[Km]],"")</f>
        <v>1.0825471698113207</v>
      </c>
      <c r="W21" s="16">
        <f>IFERROR(Tabela1[[#This Row],[Valor]]/Tabela1[[#This Row],[Corrida]],"")</f>
        <v>22.95</v>
      </c>
      <c r="X21" s="23">
        <f>IFERROR(Tabela1[[#This Row],[Km]]/Tabela1[[#This Row],[Corrida]],"")</f>
        <v>21.2</v>
      </c>
      <c r="Z21" s="14"/>
    </row>
    <row r="22" spans="1:26" x14ac:dyDescent="0.25">
      <c r="A22" s="26">
        <v>46128</v>
      </c>
      <c r="B22" s="26" t="str">
        <f t="shared" si="5"/>
        <v>16</v>
      </c>
      <c r="C22" s="31" t="str">
        <f t="shared" si="6"/>
        <v>abril</v>
      </c>
      <c r="D22" s="13">
        <f t="shared" si="7"/>
        <v>2026</v>
      </c>
      <c r="E22" s="13" t="str">
        <f t="shared" si="2"/>
        <v>qui</v>
      </c>
      <c r="F22" s="13">
        <f t="shared" si="8"/>
        <v>16</v>
      </c>
      <c r="G22" s="13" t="str">
        <f t="shared" si="9"/>
        <v>Semana</v>
      </c>
      <c r="H22" s="13" t="s">
        <v>46</v>
      </c>
      <c r="I22" s="13">
        <v>7</v>
      </c>
      <c r="J22" s="13">
        <v>102.1</v>
      </c>
      <c r="K22" s="13">
        <v>5</v>
      </c>
      <c r="L22" s="22">
        <v>95.38</v>
      </c>
      <c r="M22" s="15">
        <f>SUM(Tabela1[[#This Row],[Valor]]-Tabela1[[#This Row],[Combustível]])</f>
        <v>49.48</v>
      </c>
      <c r="N22" s="15">
        <v>45.9</v>
      </c>
      <c r="O22" s="13">
        <v>10</v>
      </c>
      <c r="P22" s="13" t="s">
        <v>47</v>
      </c>
      <c r="Q22" s="15">
        <v>2</v>
      </c>
      <c r="R22" s="15">
        <v>0</v>
      </c>
      <c r="S22" s="15">
        <f>SUM(Tabela1[[#This Row],[Valor]]-Tabela1[[#This Row],[Alimentação]]-Tabela1[[#This Row],[Manutenção]]-Tabela1[[#This Row],[Combustível]])</f>
        <v>47.48</v>
      </c>
      <c r="T22" s="13">
        <v>8.6999999999999993</v>
      </c>
      <c r="U22" s="15">
        <f>IFERROR(Tabela1[[#This Row],[Km]]/Tabela1[[#This Row],[Horas]],"")</f>
        <v>20.419999999999998</v>
      </c>
      <c r="V22" s="15">
        <f>IFERROR(Tabela1[[#This Row],[Valor]]/Tabela1[[#This Row],[Km]],"")</f>
        <v>0.93418217433888351</v>
      </c>
      <c r="W22" s="16">
        <f>IFERROR(Tabela1[[#This Row],[Valor]]/Tabela1[[#This Row],[Corrida]],"")</f>
        <v>13.625714285714285</v>
      </c>
      <c r="X22" s="23">
        <f>IFERROR(Tabela1[[#This Row],[Km]]/Tabela1[[#This Row],[Corrida]],"")</f>
        <v>14.585714285714285</v>
      </c>
    </row>
    <row r="23" spans="1:26" x14ac:dyDescent="0.25">
      <c r="A23" s="26">
        <v>46128</v>
      </c>
      <c r="B23" s="26" t="str">
        <f t="shared" si="5"/>
        <v>16</v>
      </c>
      <c r="C23" s="31" t="str">
        <f t="shared" si="6"/>
        <v>abril</v>
      </c>
      <c r="D23" s="13">
        <f t="shared" si="7"/>
        <v>2026</v>
      </c>
      <c r="E23" s="13" t="str">
        <f t="shared" si="2"/>
        <v>qui</v>
      </c>
      <c r="F23" s="13">
        <f t="shared" si="8"/>
        <v>16</v>
      </c>
      <c r="G23" s="13" t="str">
        <f t="shared" si="9"/>
        <v>Semana</v>
      </c>
      <c r="H23" s="13">
        <v>99</v>
      </c>
      <c r="I23" s="13">
        <v>5</v>
      </c>
      <c r="J23" s="13">
        <v>77.95</v>
      </c>
      <c r="K23" s="13">
        <v>3</v>
      </c>
      <c r="L23" s="22">
        <v>136.88999999999999</v>
      </c>
      <c r="M23" s="15">
        <f>SUM(Tabela1[[#This Row],[Valor]]-Tabela1[[#This Row],[Combustível]])</f>
        <v>68.039999999999992</v>
      </c>
      <c r="N23" s="15">
        <v>68.849999999999994</v>
      </c>
      <c r="O23" s="13">
        <v>15</v>
      </c>
      <c r="P23" s="13" t="s">
        <v>47</v>
      </c>
      <c r="Q23" s="15">
        <v>2</v>
      </c>
      <c r="R23" s="15">
        <v>0</v>
      </c>
      <c r="S23" s="15">
        <f>SUM(Tabela1[[#This Row],[Valor]]-Tabela1[[#This Row],[Alimentação]]-Tabela1[[#This Row],[Manutenção]]-Tabela1[[#This Row],[Combustível]])</f>
        <v>66.039999999999992</v>
      </c>
      <c r="T23" s="13">
        <v>8.6999999999999993</v>
      </c>
      <c r="U23" s="15">
        <f>IFERROR(Tabela1[[#This Row],[Km]]/Tabela1[[#This Row],[Horas]],"")</f>
        <v>25.983333333333334</v>
      </c>
      <c r="V23" s="15">
        <f>IFERROR(Tabela1[[#This Row],[Valor]]/Tabela1[[#This Row],[Km]],"")</f>
        <v>1.7561257216164206</v>
      </c>
      <c r="W23" s="16">
        <f>IFERROR(Tabela1[[#This Row],[Valor]]/Tabela1[[#This Row],[Corrida]],"")</f>
        <v>27.377999999999997</v>
      </c>
      <c r="X23" s="23">
        <f>IFERROR(Tabela1[[#This Row],[Km]]/Tabela1[[#This Row],[Corrida]],"")</f>
        <v>15.59</v>
      </c>
    </row>
    <row r="24" spans="1:26" x14ac:dyDescent="0.25">
      <c r="A24" s="26">
        <v>46129</v>
      </c>
      <c r="B24" s="26" t="str">
        <f t="shared" si="5"/>
        <v>17</v>
      </c>
      <c r="C24" s="31" t="str">
        <f t="shared" si="6"/>
        <v>abril</v>
      </c>
      <c r="D24" s="13">
        <f t="shared" si="7"/>
        <v>2026</v>
      </c>
      <c r="E24" s="13" t="str">
        <f t="shared" si="2"/>
        <v>sex</v>
      </c>
      <c r="F24" s="13">
        <f t="shared" si="8"/>
        <v>16</v>
      </c>
      <c r="G24" s="13" t="str">
        <f t="shared" si="9"/>
        <v>Semana</v>
      </c>
      <c r="H24" s="13" t="s">
        <v>46</v>
      </c>
      <c r="I24" s="13">
        <v>8</v>
      </c>
      <c r="J24" s="13">
        <v>200</v>
      </c>
      <c r="K24" s="13">
        <v>5</v>
      </c>
      <c r="L24" s="22">
        <v>196.82</v>
      </c>
      <c r="M24" s="15">
        <f>SUM(Tabela1[[#This Row],[Valor]]-Tabela1[[#This Row],[Combustível]])</f>
        <v>129.47</v>
      </c>
      <c r="N24" s="15">
        <v>67.349999999999994</v>
      </c>
      <c r="O24" s="13">
        <v>15</v>
      </c>
      <c r="P24" s="13" t="s">
        <v>47</v>
      </c>
      <c r="Q24" s="15">
        <v>0</v>
      </c>
      <c r="R24" s="15">
        <v>0</v>
      </c>
      <c r="S24" s="15">
        <f>SUM(Tabela1[[#This Row],[Valor]]-Tabela1[[#This Row],[Alimentação]]-Tabela1[[#This Row],[Manutenção]]-Tabela1[[#This Row],[Combustível]])</f>
        <v>129.47</v>
      </c>
      <c r="T24" s="13">
        <v>9.1999999999999993</v>
      </c>
      <c r="U24" s="15">
        <f>IFERROR(Tabela1[[#This Row],[Km]]/Tabela1[[#This Row],[Horas]],"")</f>
        <v>40</v>
      </c>
      <c r="V24" s="15">
        <f>IFERROR(Tabela1[[#This Row],[Valor]]/Tabela1[[#This Row],[Km]],"")</f>
        <v>0.98409999999999997</v>
      </c>
      <c r="W24" s="16">
        <f>IFERROR(Tabela1[[#This Row],[Valor]]/Tabela1[[#This Row],[Corrida]],"")</f>
        <v>24.602499999999999</v>
      </c>
      <c r="X24" s="23">
        <f>IFERROR(Tabela1[[#This Row],[Km]]/Tabela1[[#This Row],[Corrida]],"")</f>
        <v>25</v>
      </c>
    </row>
    <row r="25" spans="1:26" x14ac:dyDescent="0.25">
      <c r="A25" s="26">
        <v>46129</v>
      </c>
      <c r="B25" s="26" t="str">
        <f t="shared" si="5"/>
        <v>17</v>
      </c>
      <c r="C25" s="31" t="str">
        <f t="shared" si="6"/>
        <v>abril</v>
      </c>
      <c r="D25" s="13">
        <f t="shared" si="7"/>
        <v>2026</v>
      </c>
      <c r="E25" s="13" t="str">
        <f t="shared" si="2"/>
        <v>sex</v>
      </c>
      <c r="F25" s="13">
        <f t="shared" si="8"/>
        <v>16</v>
      </c>
      <c r="G25" s="13" t="str">
        <f t="shared" si="9"/>
        <v>Semana</v>
      </c>
      <c r="H25" s="13">
        <v>99</v>
      </c>
      <c r="I25" s="13">
        <v>4</v>
      </c>
      <c r="J25" s="13">
        <v>100</v>
      </c>
      <c r="K25" s="13">
        <v>3</v>
      </c>
      <c r="L25" s="22">
        <v>154.79</v>
      </c>
      <c r="M25" s="15">
        <f>SUM(Tabela1[[#This Row],[Valor]]-Tabela1[[#This Row],[Combustível]])</f>
        <v>109.88999999999999</v>
      </c>
      <c r="N25" s="15">
        <v>44.9</v>
      </c>
      <c r="O25" s="13">
        <v>10</v>
      </c>
      <c r="P25" s="13" t="s">
        <v>47</v>
      </c>
      <c r="Q25" s="15">
        <v>0</v>
      </c>
      <c r="R25" s="15">
        <v>0</v>
      </c>
      <c r="S25" s="15">
        <f>SUM(Tabela1[[#This Row],[Valor]]-Tabela1[[#This Row],[Alimentação]]-Tabela1[[#This Row],[Manutenção]]-Tabela1[[#This Row],[Combustível]])</f>
        <v>109.88999999999999</v>
      </c>
      <c r="T25" s="13">
        <v>9.1999999999999993</v>
      </c>
      <c r="U25" s="15">
        <f>IFERROR(Tabela1[[#This Row],[Km]]/Tabela1[[#This Row],[Horas]],"")</f>
        <v>33.333333333333336</v>
      </c>
      <c r="V25" s="15">
        <f>IFERROR(Tabela1[[#This Row],[Valor]]/Tabela1[[#This Row],[Km]],"")</f>
        <v>1.5478999999999998</v>
      </c>
      <c r="W25" s="16">
        <f>IFERROR(Tabela1[[#This Row],[Valor]]/Tabela1[[#This Row],[Corrida]],"")</f>
        <v>38.697499999999998</v>
      </c>
      <c r="X25" s="23">
        <f>IFERROR(Tabela1[[#This Row],[Km]]/Tabela1[[#This Row],[Corrida]],"")</f>
        <v>25</v>
      </c>
    </row>
    <row r="26" spans="1:26" x14ac:dyDescent="0.25">
      <c r="A26" s="26">
        <v>46130</v>
      </c>
      <c r="B26" s="26" t="str">
        <f t="shared" si="5"/>
        <v>18</v>
      </c>
      <c r="C26" s="31" t="str">
        <f t="shared" si="6"/>
        <v>abril</v>
      </c>
      <c r="D26" s="13">
        <f t="shared" si="7"/>
        <v>2026</v>
      </c>
      <c r="E26" s="13" t="str">
        <f t="shared" si="2"/>
        <v>sáb</v>
      </c>
      <c r="F26" s="13">
        <f t="shared" si="8"/>
        <v>16</v>
      </c>
      <c r="G26" s="13" t="str">
        <f t="shared" si="9"/>
        <v>Final de semana</v>
      </c>
      <c r="H26" s="13" t="s">
        <v>46</v>
      </c>
      <c r="I26" s="13">
        <v>5</v>
      </c>
      <c r="J26" s="13">
        <v>154.5</v>
      </c>
      <c r="K26" s="13">
        <v>3</v>
      </c>
      <c r="L26" s="22">
        <v>107.16</v>
      </c>
      <c r="M26" s="15">
        <f>SUM(Tabela1[[#This Row],[Valor]]-Tabela1[[#This Row],[Combustível]])</f>
        <v>15.36</v>
      </c>
      <c r="N26" s="15">
        <v>91.8</v>
      </c>
      <c r="O26" s="13">
        <v>20</v>
      </c>
      <c r="P26" s="13" t="s">
        <v>47</v>
      </c>
      <c r="Q26" s="15">
        <v>0</v>
      </c>
      <c r="R26" s="15">
        <v>0</v>
      </c>
      <c r="S26" s="15">
        <f>SUM(Tabela1[[#This Row],[Valor]]-Tabela1[[#This Row],[Alimentação]]-Tabela1[[#This Row],[Manutenção]]-Tabela1[[#This Row],[Combustível]])</f>
        <v>15.36</v>
      </c>
      <c r="T26" s="13">
        <v>10.6</v>
      </c>
      <c r="U26" s="15">
        <f>IFERROR(Tabela1[[#This Row],[Km]]/Tabela1[[#This Row],[Horas]],"")</f>
        <v>51.5</v>
      </c>
      <c r="V26" s="15">
        <f>IFERROR(Tabela1[[#This Row],[Valor]]/Tabela1[[#This Row],[Km]],"")</f>
        <v>0.69359223300970874</v>
      </c>
      <c r="W26" s="16">
        <f>IFERROR(Tabela1[[#This Row],[Valor]]/Tabela1[[#This Row],[Corrida]],"")</f>
        <v>21.431999999999999</v>
      </c>
      <c r="X26" s="23">
        <f>IFERROR(Tabela1[[#This Row],[Km]]/Tabela1[[#This Row],[Corrida]],"")</f>
        <v>30.9</v>
      </c>
    </row>
    <row r="27" spans="1:26" x14ac:dyDescent="0.25">
      <c r="A27" s="26">
        <v>46130</v>
      </c>
      <c r="B27" s="26" t="str">
        <f t="shared" si="5"/>
        <v>18</v>
      </c>
      <c r="C27" s="31" t="str">
        <f t="shared" si="6"/>
        <v>abril</v>
      </c>
      <c r="D27" s="13">
        <f t="shared" si="7"/>
        <v>2026</v>
      </c>
      <c r="E27" s="13" t="str">
        <f t="shared" si="2"/>
        <v>sáb</v>
      </c>
      <c r="F27" s="13">
        <f t="shared" si="8"/>
        <v>16</v>
      </c>
      <c r="G27" s="13" t="str">
        <f t="shared" si="9"/>
        <v>Final de semana</v>
      </c>
      <c r="H27" s="13">
        <v>99</v>
      </c>
      <c r="I27" s="13">
        <v>6</v>
      </c>
      <c r="J27" s="13">
        <v>185.4</v>
      </c>
      <c r="K27" s="13">
        <v>4</v>
      </c>
      <c r="L27" s="22">
        <v>284.81</v>
      </c>
      <c r="M27" s="15">
        <f>SUM(Tabela1[[#This Row],[Valor]]-Tabela1[[#This Row],[Combustível]])</f>
        <v>170.06</v>
      </c>
      <c r="N27" s="15">
        <v>114.75</v>
      </c>
      <c r="O27" s="13">
        <v>25</v>
      </c>
      <c r="P27" s="13" t="s">
        <v>47</v>
      </c>
      <c r="Q27" s="15">
        <v>0</v>
      </c>
      <c r="R27" s="15">
        <v>0</v>
      </c>
      <c r="S27" s="15">
        <f>SUM(Tabela1[[#This Row],[Valor]]-Tabela1[[#This Row],[Alimentação]]-Tabela1[[#This Row],[Manutenção]]-Tabela1[[#This Row],[Combustível]])</f>
        <v>170.06</v>
      </c>
      <c r="T27" s="13">
        <v>10.6</v>
      </c>
      <c r="U27" s="15">
        <f>IFERROR(Tabela1[[#This Row],[Km]]/Tabela1[[#This Row],[Horas]],"")</f>
        <v>46.35</v>
      </c>
      <c r="V27" s="15">
        <f>IFERROR(Tabela1[[#This Row],[Valor]]/Tabela1[[#This Row],[Km]],"")</f>
        <v>1.5361920172599783</v>
      </c>
      <c r="W27" s="16">
        <f>IFERROR(Tabela1[[#This Row],[Valor]]/Tabela1[[#This Row],[Corrida]],"")</f>
        <v>47.468333333333334</v>
      </c>
      <c r="X27" s="23">
        <f>IFERROR(Tabela1[[#This Row],[Km]]/Tabela1[[#This Row],[Corrida]],"")</f>
        <v>30.900000000000002</v>
      </c>
    </row>
    <row r="28" spans="1:26" x14ac:dyDescent="0.25">
      <c r="A28" s="26">
        <v>46149</v>
      </c>
      <c r="B28" s="26" t="str">
        <f t="shared" si="5"/>
        <v>7</v>
      </c>
      <c r="C28" s="31" t="str">
        <f t="shared" si="6"/>
        <v>maio</v>
      </c>
      <c r="D28" s="13">
        <f t="shared" si="7"/>
        <v>2026</v>
      </c>
      <c r="E28" s="13" t="str">
        <f t="shared" si="2"/>
        <v>qui</v>
      </c>
      <c r="F28" s="13">
        <f t="shared" si="8"/>
        <v>19</v>
      </c>
      <c r="G28" s="13" t="str">
        <f t="shared" si="9"/>
        <v>Semana</v>
      </c>
      <c r="H28" s="13" t="s">
        <v>46</v>
      </c>
      <c r="I28" s="13">
        <v>4</v>
      </c>
      <c r="J28" s="13">
        <v>100</v>
      </c>
      <c r="K28" s="13">
        <v>3</v>
      </c>
      <c r="L28" s="22">
        <v>91.05</v>
      </c>
      <c r="M28" s="15">
        <f>SUM(Tabela1[[#This Row],[Valor]]-Tabela1[[#This Row],[Combustível]])</f>
        <v>41.05</v>
      </c>
      <c r="N28" s="15">
        <v>50</v>
      </c>
      <c r="O28" s="13">
        <v>15</v>
      </c>
      <c r="P28" s="13" t="s">
        <v>47</v>
      </c>
      <c r="Q28" s="15">
        <v>0</v>
      </c>
      <c r="R28" s="15">
        <v>0</v>
      </c>
      <c r="S28" s="15">
        <f>SUM(Tabela1[[#This Row],[Valor]]-Tabela1[[#This Row],[Alimentação]]-Tabela1[[#This Row],[Manutenção]]-Tabela1[[#This Row],[Combustível]])</f>
        <v>41.05</v>
      </c>
      <c r="T28" s="13">
        <v>9</v>
      </c>
      <c r="U28" s="15">
        <f>IFERROR(Tabela1[[#This Row],[Km]]/Tabela1[[#This Row],[Horas]],"")</f>
        <v>33.333333333333336</v>
      </c>
      <c r="V28" s="15">
        <f>IFERROR(Tabela1[[#This Row],[Valor]]/Tabela1[[#This Row],[Km]],"")</f>
        <v>0.91049999999999998</v>
      </c>
      <c r="W28" s="16">
        <f>IFERROR(Tabela1[[#This Row],[Valor]]/Tabela1[[#This Row],[Corrida]],"")</f>
        <v>22.762499999999999</v>
      </c>
      <c r="X28" s="23">
        <f>IFERROR(Tabela1[[#This Row],[Km]]/Tabela1[[#This Row],[Corrida]],"")</f>
        <v>25</v>
      </c>
    </row>
    <row r="29" spans="1:26" x14ac:dyDescent="0.25">
      <c r="A29" s="26">
        <v>46149</v>
      </c>
      <c r="B29" s="26" t="str">
        <f t="shared" si="5"/>
        <v>7</v>
      </c>
      <c r="C29" s="31" t="str">
        <f t="shared" si="6"/>
        <v>maio</v>
      </c>
      <c r="D29" s="13">
        <f t="shared" si="7"/>
        <v>2026</v>
      </c>
      <c r="E29" s="13" t="str">
        <f t="shared" si="2"/>
        <v>qui</v>
      </c>
      <c r="F29" s="13">
        <f t="shared" si="8"/>
        <v>19</v>
      </c>
      <c r="G29" s="13" t="str">
        <f t="shared" si="9"/>
        <v>Semana</v>
      </c>
      <c r="H29" s="13">
        <v>99</v>
      </c>
      <c r="I29" s="13">
        <v>2</v>
      </c>
      <c r="J29" s="13">
        <v>40</v>
      </c>
      <c r="K29" s="13">
        <v>2</v>
      </c>
      <c r="L29" s="22">
        <v>54.8</v>
      </c>
      <c r="M29" s="15">
        <f>SUM(Tabela1[[#This Row],[Valor]]-Tabela1[[#This Row],[Combustível]])</f>
        <v>4.7999999999999972</v>
      </c>
      <c r="N29" s="15">
        <v>50</v>
      </c>
      <c r="O29" s="13">
        <v>10</v>
      </c>
      <c r="P29" s="13" t="s">
        <v>47</v>
      </c>
      <c r="Q29" s="15">
        <v>0</v>
      </c>
      <c r="R29" s="15">
        <v>0</v>
      </c>
      <c r="S29" s="15">
        <f>SUM(Tabela1[[#This Row],[Valor]]-Tabela1[[#This Row],[Alimentação]]-Tabela1[[#This Row],[Manutenção]]-Tabela1[[#This Row],[Combustível]])</f>
        <v>4.7999999999999972</v>
      </c>
      <c r="T29" s="13">
        <v>9</v>
      </c>
      <c r="U29" s="15">
        <f>IFERROR(Tabela1[[#This Row],[Km]]/Tabela1[[#This Row],[Horas]],"")</f>
        <v>20</v>
      </c>
      <c r="V29" s="15">
        <f>IFERROR(Tabela1[[#This Row],[Valor]]/Tabela1[[#This Row],[Km]],"")</f>
        <v>1.3699999999999999</v>
      </c>
      <c r="W29" s="16">
        <f>IFERROR(Tabela1[[#This Row],[Valor]]/Tabela1[[#This Row],[Corrida]],"")</f>
        <v>27.4</v>
      </c>
      <c r="X29" s="23">
        <f>IFERROR(Tabela1[[#This Row],[Km]]/Tabela1[[#This Row],[Corrida]],"")</f>
        <v>20</v>
      </c>
    </row>
    <row r="30" spans="1:26" x14ac:dyDescent="0.25">
      <c r="A30" s="26">
        <v>46151</v>
      </c>
      <c r="B30" s="26" t="str">
        <f t="shared" si="5"/>
        <v>9</v>
      </c>
      <c r="C30" s="31" t="str">
        <f t="shared" si="6"/>
        <v>maio</v>
      </c>
      <c r="D30" s="13">
        <f t="shared" si="7"/>
        <v>2026</v>
      </c>
      <c r="E30" s="13" t="str">
        <f t="shared" si="2"/>
        <v>sáb</v>
      </c>
      <c r="F30" s="13">
        <f t="shared" si="8"/>
        <v>19</v>
      </c>
      <c r="G30" s="13" t="str">
        <f t="shared" si="9"/>
        <v>Final de semana</v>
      </c>
      <c r="H30" s="13" t="s">
        <v>46</v>
      </c>
      <c r="I30" s="13">
        <v>6</v>
      </c>
      <c r="J30" s="13">
        <v>150</v>
      </c>
      <c r="K30" s="13">
        <v>4</v>
      </c>
      <c r="L30" s="22">
        <v>145.36000000000001</v>
      </c>
      <c r="M30" s="15">
        <f>SUM(Tabela1[[#This Row],[Valor]]-Tabela1[[#This Row],[Combustível]])</f>
        <v>16.660000000000025</v>
      </c>
      <c r="N30" s="15">
        <v>128.69999999999999</v>
      </c>
      <c r="O30" s="13">
        <v>35</v>
      </c>
      <c r="P30" s="13" t="s">
        <v>47</v>
      </c>
      <c r="Q30" s="15">
        <v>0</v>
      </c>
      <c r="R30" s="15">
        <v>450</v>
      </c>
      <c r="S30" s="15">
        <f>SUM(Tabela1[[#This Row],[Valor]]-Tabela1[[#This Row],[Alimentação]]-Tabela1[[#This Row],[Manutenção]]-Tabela1[[#This Row],[Combustível]])</f>
        <v>-433.34</v>
      </c>
      <c r="T30" s="13">
        <v>9.5</v>
      </c>
      <c r="U30" s="15">
        <f>IFERROR(Tabela1[[#This Row],[Km]]/Tabela1[[#This Row],[Horas]],"")</f>
        <v>37.5</v>
      </c>
      <c r="V30" s="15">
        <f>IFERROR(Tabela1[[#This Row],[Valor]]/Tabela1[[#This Row],[Km]],"")</f>
        <v>0.96906666666666674</v>
      </c>
      <c r="W30" s="16">
        <f>IFERROR(Tabela1[[#This Row],[Valor]]/Tabela1[[#This Row],[Corrida]],"")</f>
        <v>24.22666666666667</v>
      </c>
      <c r="X30" s="23">
        <f>IFERROR(Tabela1[[#This Row],[Km]]/Tabela1[[#This Row],[Corrida]],"")</f>
        <v>25</v>
      </c>
    </row>
    <row r="31" spans="1:26" x14ac:dyDescent="0.25">
      <c r="A31" s="26">
        <v>46151</v>
      </c>
      <c r="B31" s="26" t="str">
        <f t="shared" si="5"/>
        <v>9</v>
      </c>
      <c r="C31" s="31" t="str">
        <f t="shared" si="6"/>
        <v>maio</v>
      </c>
      <c r="D31" s="13">
        <f t="shared" si="7"/>
        <v>2026</v>
      </c>
      <c r="E31" s="13" t="str">
        <f t="shared" si="2"/>
        <v>sáb</v>
      </c>
      <c r="F31" s="13">
        <f t="shared" si="8"/>
        <v>19</v>
      </c>
      <c r="G31" s="13" t="str">
        <f t="shared" si="9"/>
        <v>Final de semana</v>
      </c>
      <c r="H31" s="13">
        <v>99</v>
      </c>
      <c r="I31" s="13">
        <v>7</v>
      </c>
      <c r="J31" s="13">
        <v>150</v>
      </c>
      <c r="K31" s="13">
        <v>4</v>
      </c>
      <c r="L31" s="22">
        <v>262.89999999999998</v>
      </c>
      <c r="M31" s="15">
        <f>SUM(Tabela1[[#This Row],[Valor]]-Tabela1[[#This Row],[Combustível]])</f>
        <v>144.69999999999999</v>
      </c>
      <c r="N31" s="15">
        <v>118.2</v>
      </c>
      <c r="O31" s="13">
        <v>30</v>
      </c>
      <c r="P31" s="13" t="s">
        <v>47</v>
      </c>
      <c r="Q31" s="15">
        <v>0</v>
      </c>
      <c r="R31" s="15">
        <v>0</v>
      </c>
      <c r="S31" s="15">
        <f>SUM(Tabela1[[#This Row],[Valor]]-Tabela1[[#This Row],[Alimentação]]-Tabela1[[#This Row],[Manutenção]]-Tabela1[[#This Row],[Combustível]])</f>
        <v>144.69999999999999</v>
      </c>
      <c r="T31" s="13">
        <v>9.5</v>
      </c>
      <c r="U31" s="15">
        <f>IFERROR(Tabela1[[#This Row],[Km]]/Tabela1[[#This Row],[Horas]],"")</f>
        <v>37.5</v>
      </c>
      <c r="V31" s="15">
        <f>IFERROR(Tabela1[[#This Row],[Valor]]/Tabela1[[#This Row],[Km]],"")</f>
        <v>1.7526666666666666</v>
      </c>
      <c r="W31" s="16">
        <f>IFERROR(Tabela1[[#This Row],[Valor]]/Tabela1[[#This Row],[Corrida]],"")</f>
        <v>37.557142857142857</v>
      </c>
      <c r="X31" s="23">
        <f>IFERROR(Tabela1[[#This Row],[Km]]/Tabela1[[#This Row],[Corrida]],"")</f>
        <v>21.428571428571427</v>
      </c>
    </row>
    <row r="32" spans="1:26" x14ac:dyDescent="0.25">
      <c r="A32" s="26">
        <v>46152</v>
      </c>
      <c r="B32" s="26" t="str">
        <f t="shared" si="5"/>
        <v>10</v>
      </c>
      <c r="C32" s="31" t="str">
        <f t="shared" si="6"/>
        <v>maio</v>
      </c>
      <c r="D32" s="13">
        <f t="shared" si="7"/>
        <v>2026</v>
      </c>
      <c r="E32" s="13" t="str">
        <f t="shared" si="2"/>
        <v>dom</v>
      </c>
      <c r="F32" s="13">
        <f t="shared" si="8"/>
        <v>20</v>
      </c>
      <c r="G32" s="13" t="str">
        <f t="shared" si="9"/>
        <v>Final de semana</v>
      </c>
      <c r="H32" s="13" t="s">
        <v>46</v>
      </c>
      <c r="I32" s="13">
        <v>8</v>
      </c>
      <c r="J32" s="13">
        <v>168.9</v>
      </c>
      <c r="K32" s="13">
        <v>5</v>
      </c>
      <c r="L32" s="22">
        <v>239.5</v>
      </c>
      <c r="M32" s="15">
        <f>SUM(Tabela1[[#This Row],[Valor]]-Tabela1[[#This Row],[Combustível]])</f>
        <v>175.15</v>
      </c>
      <c r="N32" s="15">
        <v>64.349999999999994</v>
      </c>
      <c r="O32" s="13">
        <v>15</v>
      </c>
      <c r="P32" s="13" t="s">
        <v>47</v>
      </c>
      <c r="Q32" s="15">
        <v>0</v>
      </c>
      <c r="R32" s="15">
        <v>0</v>
      </c>
      <c r="S32" s="15">
        <f>SUM(Tabela1[[#This Row],[Valor]]-Tabela1[[#This Row],[Alimentação]]-Tabela1[[#This Row],[Manutenção]]-Tabela1[[#This Row],[Combustível]])</f>
        <v>175.15</v>
      </c>
      <c r="T32" s="13">
        <v>9.6999999999999993</v>
      </c>
      <c r="U32" s="15">
        <f>IFERROR(Tabela1[[#This Row],[Km]]/Tabela1[[#This Row],[Horas]],"")</f>
        <v>33.78</v>
      </c>
      <c r="V32" s="15">
        <f>IFERROR(Tabela1[[#This Row],[Valor]]/Tabela1[[#This Row],[Km]],"")</f>
        <v>1.4179988158673771</v>
      </c>
      <c r="W32" s="16">
        <f>IFERROR(Tabela1[[#This Row],[Valor]]/Tabela1[[#This Row],[Corrida]],"")</f>
        <v>29.9375</v>
      </c>
      <c r="X32" s="23">
        <f>IFERROR(Tabela1[[#This Row],[Km]]/Tabela1[[#This Row],[Corrida]],"")</f>
        <v>21.112500000000001</v>
      </c>
    </row>
    <row r="33" spans="1:24" x14ac:dyDescent="0.25">
      <c r="A33" s="26">
        <v>46152</v>
      </c>
      <c r="B33" s="26" t="str">
        <f t="shared" si="5"/>
        <v>10</v>
      </c>
      <c r="C33" s="31" t="str">
        <f t="shared" si="6"/>
        <v>maio</v>
      </c>
      <c r="D33" s="13">
        <f t="shared" si="7"/>
        <v>2026</v>
      </c>
      <c r="E33" s="13" t="str">
        <f t="shared" si="2"/>
        <v>dom</v>
      </c>
      <c r="F33" s="13">
        <f t="shared" si="8"/>
        <v>20</v>
      </c>
      <c r="G33" s="13" t="str">
        <f t="shared" si="9"/>
        <v>Final de semana</v>
      </c>
      <c r="H33" s="13">
        <v>99</v>
      </c>
      <c r="I33" s="13">
        <v>7</v>
      </c>
      <c r="J33" s="13">
        <v>147.77000000000001</v>
      </c>
      <c r="K33" s="13">
        <v>4</v>
      </c>
      <c r="L33" s="22">
        <v>244.55</v>
      </c>
      <c r="M33" s="15">
        <f>SUM(Tabela1[[#This Row],[Valor]]-Tabela1[[#This Row],[Combustível]])</f>
        <v>201.65</v>
      </c>
      <c r="N33" s="15">
        <v>42.9</v>
      </c>
      <c r="O33" s="13">
        <v>10</v>
      </c>
      <c r="P33" s="13" t="s">
        <v>47</v>
      </c>
      <c r="Q33" s="15">
        <v>0</v>
      </c>
      <c r="R33" s="15">
        <v>0</v>
      </c>
      <c r="S33" s="15">
        <f>SUM(Tabela1[[#This Row],[Valor]]-Tabela1[[#This Row],[Alimentação]]-Tabela1[[#This Row],[Manutenção]]-Tabela1[[#This Row],[Combustível]])</f>
        <v>201.65</v>
      </c>
      <c r="T33" s="13">
        <v>9.6999999999999993</v>
      </c>
      <c r="U33" s="15">
        <f>IFERROR(Tabela1[[#This Row],[Km]]/Tabela1[[#This Row],[Horas]],"")</f>
        <v>36.942500000000003</v>
      </c>
      <c r="V33" s="15">
        <f>IFERROR(Tabela1[[#This Row],[Valor]]/Tabela1[[#This Row],[Km]],"")</f>
        <v>1.6549367259930974</v>
      </c>
      <c r="W33" s="16">
        <f>IFERROR(Tabela1[[#This Row],[Valor]]/Tabela1[[#This Row],[Corrida]],"")</f>
        <v>34.93571428571429</v>
      </c>
      <c r="X33" s="23">
        <f>IFERROR(Tabela1[[#This Row],[Km]]/Tabela1[[#This Row],[Corrida]],"")</f>
        <v>21.110000000000003</v>
      </c>
    </row>
    <row r="34" spans="1:24" x14ac:dyDescent="0.25">
      <c r="A34" s="26">
        <v>46157</v>
      </c>
      <c r="B34" s="26" t="str">
        <f t="shared" si="5"/>
        <v>15</v>
      </c>
      <c r="C34" s="31" t="str">
        <f t="shared" si="6"/>
        <v>maio</v>
      </c>
      <c r="D34" s="13">
        <f t="shared" si="7"/>
        <v>2026</v>
      </c>
      <c r="E34" s="13" t="str">
        <f t="shared" ref="E34:E60" si="10">IF(A34="","",TEXT(A34,"ddd"))</f>
        <v>sex</v>
      </c>
      <c r="F34" s="13">
        <f t="shared" si="8"/>
        <v>20</v>
      </c>
      <c r="G34" s="13" t="str">
        <f t="shared" si="9"/>
        <v>Semana</v>
      </c>
      <c r="H34" s="13" t="s">
        <v>46</v>
      </c>
      <c r="I34" s="13">
        <v>2</v>
      </c>
      <c r="J34" s="13">
        <v>28</v>
      </c>
      <c r="K34" s="13">
        <v>2</v>
      </c>
      <c r="L34" s="22">
        <v>67.790000000000006</v>
      </c>
      <c r="M34" s="15">
        <f>SUM(Tabela1[[#This Row],[Valor]]-Tabela1[[#This Row],[Combustível]])</f>
        <v>46.140000000000008</v>
      </c>
      <c r="N34" s="15">
        <v>21.65</v>
      </c>
      <c r="O34" s="13">
        <v>5</v>
      </c>
      <c r="P34" s="13" t="s">
        <v>47</v>
      </c>
      <c r="Q34" s="15">
        <v>0</v>
      </c>
      <c r="R34" s="15">
        <v>0</v>
      </c>
      <c r="S34" s="15">
        <f>SUM(Tabela1[[#This Row],[Valor]]-Tabela1[[#This Row],[Alimentação]]-Tabela1[[#This Row],[Manutenção]]-Tabela1[[#This Row],[Combustível]])</f>
        <v>46.140000000000008</v>
      </c>
      <c r="T34" s="13">
        <v>8.8000000000000007</v>
      </c>
      <c r="U34" s="15">
        <f>IFERROR(Tabela1[[#This Row],[Km]]/Tabela1[[#This Row],[Horas]],"")</f>
        <v>14</v>
      </c>
      <c r="V34" s="15">
        <f>IFERROR(Tabela1[[#This Row],[Valor]]/Tabela1[[#This Row],[Km]],"")</f>
        <v>2.421071428571429</v>
      </c>
      <c r="W34" s="16">
        <f>IFERROR(Tabela1[[#This Row],[Valor]]/Tabela1[[#This Row],[Corrida]],"")</f>
        <v>33.895000000000003</v>
      </c>
      <c r="X34" s="23">
        <f>IFERROR(Tabela1[[#This Row],[Km]]/Tabela1[[#This Row],[Corrida]],"")</f>
        <v>14</v>
      </c>
    </row>
    <row r="35" spans="1:24" x14ac:dyDescent="0.25">
      <c r="A35" s="26">
        <v>46157</v>
      </c>
      <c r="B35" s="26" t="str">
        <f t="shared" si="5"/>
        <v>15</v>
      </c>
      <c r="C35" s="31" t="str">
        <f t="shared" si="6"/>
        <v>maio</v>
      </c>
      <c r="D35" s="13">
        <f t="shared" si="7"/>
        <v>2026</v>
      </c>
      <c r="E35" s="13" t="str">
        <f t="shared" si="10"/>
        <v>sex</v>
      </c>
      <c r="F35" s="13">
        <f t="shared" si="8"/>
        <v>20</v>
      </c>
      <c r="G35" s="13" t="str">
        <f t="shared" si="9"/>
        <v>Semana</v>
      </c>
      <c r="H35" s="13">
        <v>99</v>
      </c>
      <c r="I35" s="13">
        <v>9</v>
      </c>
      <c r="J35" s="13">
        <v>126</v>
      </c>
      <c r="K35" s="13">
        <v>4</v>
      </c>
      <c r="L35" s="22">
        <v>168.73</v>
      </c>
      <c r="M35" s="15">
        <f>SUM(Tabela1[[#This Row],[Valor]]-Tabela1[[#This Row],[Combustível]])</f>
        <v>53.72999999999999</v>
      </c>
      <c r="N35" s="15">
        <v>115</v>
      </c>
      <c r="O35" s="13">
        <v>32</v>
      </c>
      <c r="P35" s="13" t="s">
        <v>47</v>
      </c>
      <c r="Q35" s="15">
        <v>15</v>
      </c>
      <c r="R35" s="15">
        <v>0</v>
      </c>
      <c r="S35" s="15">
        <f>SUM(Tabela1[[#This Row],[Valor]]-Tabela1[[#This Row],[Alimentação]]-Tabela1[[#This Row],[Manutenção]]-Tabela1[[#This Row],[Combustível]])</f>
        <v>38.72999999999999</v>
      </c>
      <c r="T35" s="13">
        <v>8.8000000000000007</v>
      </c>
      <c r="U35" s="15">
        <f>IFERROR(Tabela1[[#This Row],[Km]]/Tabela1[[#This Row],[Horas]],"")</f>
        <v>31.5</v>
      </c>
      <c r="V35" s="15">
        <f>IFERROR(Tabela1[[#This Row],[Valor]]/Tabela1[[#This Row],[Km]],"")</f>
        <v>1.3391269841269839</v>
      </c>
      <c r="W35" s="16">
        <f>IFERROR(Tabela1[[#This Row],[Valor]]/Tabela1[[#This Row],[Corrida]],"")</f>
        <v>18.747777777777777</v>
      </c>
      <c r="X35" s="23">
        <f>IFERROR(Tabela1[[#This Row],[Km]]/Tabela1[[#This Row],[Corrida]],"")</f>
        <v>14</v>
      </c>
    </row>
    <row r="36" spans="1:24" x14ac:dyDescent="0.25">
      <c r="A36" s="26">
        <v>46158</v>
      </c>
      <c r="B36" s="26" t="str">
        <f t="shared" si="5"/>
        <v>16</v>
      </c>
      <c r="C36" s="31" t="str">
        <f t="shared" si="6"/>
        <v>maio</v>
      </c>
      <c r="D36" s="13">
        <f t="shared" si="7"/>
        <v>2026</v>
      </c>
      <c r="E36" s="13" t="str">
        <f t="shared" si="10"/>
        <v>sáb</v>
      </c>
      <c r="F36" s="13">
        <f t="shared" si="8"/>
        <v>20</v>
      </c>
      <c r="G36" s="13" t="str">
        <f t="shared" si="9"/>
        <v>Final de semana</v>
      </c>
      <c r="H36" s="13" t="s">
        <v>46</v>
      </c>
      <c r="I36" s="13">
        <v>5</v>
      </c>
      <c r="J36" s="13">
        <v>70.2</v>
      </c>
      <c r="K36" s="13">
        <v>3</v>
      </c>
      <c r="L36" s="22">
        <v>119.29</v>
      </c>
      <c r="M36" s="15">
        <f>SUM(Tabela1[[#This Row],[Valor]]-Tabela1[[#This Row],[Combustível]])</f>
        <v>57.000000000000007</v>
      </c>
      <c r="N36" s="15">
        <v>62.29</v>
      </c>
      <c r="O36" s="13">
        <v>16.7</v>
      </c>
      <c r="P36" s="13" t="s">
        <v>47</v>
      </c>
      <c r="Q36" s="15">
        <v>25</v>
      </c>
      <c r="R36" s="15">
        <v>0</v>
      </c>
      <c r="S36" s="15">
        <f>SUM(Tabela1[[#This Row],[Valor]]-Tabela1[[#This Row],[Alimentação]]-Tabela1[[#This Row],[Manutenção]]-Tabela1[[#This Row],[Combustível]])</f>
        <v>32.000000000000007</v>
      </c>
      <c r="T36" s="13">
        <v>9.4</v>
      </c>
      <c r="U36" s="15">
        <f>IFERROR(Tabela1[[#This Row],[Km]]/Tabela1[[#This Row],[Horas]],"")</f>
        <v>23.400000000000002</v>
      </c>
      <c r="V36" s="15">
        <f>IFERROR(Tabela1[[#This Row],[Valor]]/Tabela1[[#This Row],[Km]],"")</f>
        <v>1.6992877492877494</v>
      </c>
      <c r="W36" s="16">
        <f>IFERROR(Tabela1[[#This Row],[Valor]]/Tabela1[[#This Row],[Corrida]],"")</f>
        <v>23.858000000000001</v>
      </c>
      <c r="X36" s="23">
        <f>IFERROR(Tabela1[[#This Row],[Km]]/Tabela1[[#This Row],[Corrida]],"")</f>
        <v>14.040000000000001</v>
      </c>
    </row>
    <row r="37" spans="1:24" x14ac:dyDescent="0.25">
      <c r="A37" s="26">
        <v>46158</v>
      </c>
      <c r="B37" s="26" t="str">
        <f t="shared" si="5"/>
        <v>16</v>
      </c>
      <c r="C37" s="31" t="str">
        <f t="shared" si="6"/>
        <v>maio</v>
      </c>
      <c r="D37" s="13">
        <f t="shared" si="7"/>
        <v>2026</v>
      </c>
      <c r="E37" s="13" t="str">
        <f t="shared" si="10"/>
        <v>sáb</v>
      </c>
      <c r="F37" s="13">
        <f t="shared" si="8"/>
        <v>20</v>
      </c>
      <c r="G37" s="13" t="str">
        <f t="shared" si="9"/>
        <v>Final de semana</v>
      </c>
      <c r="H37" s="13">
        <v>99</v>
      </c>
      <c r="I37" s="13">
        <v>16</v>
      </c>
      <c r="J37" s="13">
        <v>224.7</v>
      </c>
      <c r="K37" s="13">
        <v>6</v>
      </c>
      <c r="L37" s="22">
        <v>284.13</v>
      </c>
      <c r="M37" s="15">
        <f>SUM(Tabela1[[#This Row],[Valor]]-Tabela1[[#This Row],[Combustível]])</f>
        <v>221.84</v>
      </c>
      <c r="N37" s="15">
        <v>62.29</v>
      </c>
      <c r="O37" s="13">
        <v>16.7</v>
      </c>
      <c r="P37" s="13" t="s">
        <v>47</v>
      </c>
      <c r="Q37" s="15">
        <v>25</v>
      </c>
      <c r="R37" s="15">
        <v>0</v>
      </c>
      <c r="S37" s="15">
        <f>SUM(Tabela1[[#This Row],[Valor]]-Tabela1[[#This Row],[Alimentação]]-Tabela1[[#This Row],[Manutenção]]-Tabela1[[#This Row],[Combustível]])</f>
        <v>196.84</v>
      </c>
      <c r="T37" s="13">
        <v>9.4</v>
      </c>
      <c r="U37" s="15">
        <f>IFERROR(Tabela1[[#This Row],[Km]]/Tabela1[[#This Row],[Horas]],"")</f>
        <v>37.449999999999996</v>
      </c>
      <c r="V37" s="15">
        <f>IFERROR(Tabela1[[#This Row],[Valor]]/Tabela1[[#This Row],[Km]],"")</f>
        <v>1.2644859813084113</v>
      </c>
      <c r="W37" s="16">
        <f>IFERROR(Tabela1[[#This Row],[Valor]]/Tabela1[[#This Row],[Corrida]],"")</f>
        <v>17.758125</v>
      </c>
      <c r="X37" s="23">
        <f>IFERROR(Tabela1[[#This Row],[Km]]/Tabela1[[#This Row],[Corrida]],"")</f>
        <v>14.043749999999999</v>
      </c>
    </row>
    <row r="38" spans="1:24" x14ac:dyDescent="0.25">
      <c r="A38" s="26">
        <v>46159</v>
      </c>
      <c r="B38" s="26" t="str">
        <f t="shared" si="5"/>
        <v>17</v>
      </c>
      <c r="C38" s="31" t="str">
        <f t="shared" si="6"/>
        <v>maio</v>
      </c>
      <c r="D38" s="13">
        <f t="shared" si="7"/>
        <v>2026</v>
      </c>
      <c r="E38" s="13" t="str">
        <f t="shared" si="10"/>
        <v>dom</v>
      </c>
      <c r="F38" s="13">
        <f t="shared" si="8"/>
        <v>21</v>
      </c>
      <c r="G38" s="13" t="str">
        <f t="shared" si="9"/>
        <v>Final de semana</v>
      </c>
      <c r="H38" s="13" t="s">
        <v>46</v>
      </c>
      <c r="I38" s="13">
        <v>1</v>
      </c>
      <c r="J38" s="13">
        <v>5.7</v>
      </c>
      <c r="K38" s="13">
        <v>2</v>
      </c>
      <c r="L38" s="22">
        <v>10.16</v>
      </c>
      <c r="M38" s="15">
        <f>SUM(Tabela1[[#This Row],[Valor]]-Tabela1[[#This Row],[Combustível]])</f>
        <v>10.16</v>
      </c>
      <c r="N38" s="15">
        <v>0</v>
      </c>
      <c r="O38" s="13">
        <v>0</v>
      </c>
      <c r="P38" s="13" t="s">
        <v>47</v>
      </c>
      <c r="Q38" s="15">
        <v>0</v>
      </c>
      <c r="R38" s="15">
        <v>0</v>
      </c>
      <c r="S38" s="15">
        <f>SUM(Tabela1[[#This Row],[Valor]]-Tabela1[[#This Row],[Alimentação]]-Tabela1[[#This Row],[Manutenção]]-Tabela1[[#This Row],[Combustível]])</f>
        <v>10.16</v>
      </c>
      <c r="T38" s="13">
        <v>9.9</v>
      </c>
      <c r="U38" s="15">
        <f>IFERROR(Tabela1[[#This Row],[Km]]/Tabela1[[#This Row],[Horas]],"")</f>
        <v>2.85</v>
      </c>
      <c r="V38" s="15">
        <f>IFERROR(Tabela1[[#This Row],[Valor]]/Tabela1[[#This Row],[Km]],"")</f>
        <v>1.7824561403508772</v>
      </c>
      <c r="W38" s="16">
        <f>IFERROR(Tabela1[[#This Row],[Valor]]/Tabela1[[#This Row],[Corrida]],"")</f>
        <v>10.16</v>
      </c>
      <c r="X38" s="23">
        <f>IFERROR(Tabela1[[#This Row],[Km]]/Tabela1[[#This Row],[Corrida]],"")</f>
        <v>5.7</v>
      </c>
    </row>
    <row r="39" spans="1:24" x14ac:dyDescent="0.25">
      <c r="A39" s="26">
        <v>46159</v>
      </c>
      <c r="B39" s="26" t="str">
        <f t="shared" si="5"/>
        <v>17</v>
      </c>
      <c r="C39" s="31" t="str">
        <f t="shared" si="6"/>
        <v>maio</v>
      </c>
      <c r="D39" s="13">
        <f t="shared" si="7"/>
        <v>2026</v>
      </c>
      <c r="E39" s="13" t="str">
        <f t="shared" si="10"/>
        <v>dom</v>
      </c>
      <c r="F39" s="13">
        <f t="shared" si="8"/>
        <v>21</v>
      </c>
      <c r="G39" s="13" t="str">
        <f t="shared" si="9"/>
        <v>Final de semana</v>
      </c>
      <c r="H39" s="13">
        <v>99</v>
      </c>
      <c r="I39" s="13">
        <v>9</v>
      </c>
      <c r="J39" s="13">
        <v>250</v>
      </c>
      <c r="K39" s="13">
        <v>5</v>
      </c>
      <c r="L39" s="22">
        <v>304.58999999999997</v>
      </c>
      <c r="M39" s="15">
        <f>SUM(Tabela1[[#This Row],[Valor]]-Tabela1[[#This Row],[Combustível]])</f>
        <v>165.60999999999999</v>
      </c>
      <c r="N39" s="15">
        <v>138.97999999999999</v>
      </c>
      <c r="O39" s="13">
        <v>36</v>
      </c>
      <c r="P39" s="13" t="s">
        <v>47</v>
      </c>
      <c r="Q39" s="15">
        <v>0</v>
      </c>
      <c r="R39" s="15">
        <v>0</v>
      </c>
      <c r="S39" s="15">
        <f>SUM(Tabela1[[#This Row],[Valor]]-Tabela1[[#This Row],[Alimentação]]-Tabela1[[#This Row],[Manutenção]]-Tabela1[[#This Row],[Combustível]])</f>
        <v>165.60999999999999</v>
      </c>
      <c r="T39" s="13">
        <v>9.9</v>
      </c>
      <c r="U39" s="15">
        <f>IFERROR(Tabela1[[#This Row],[Km]]/Tabela1[[#This Row],[Horas]],"")</f>
        <v>50</v>
      </c>
      <c r="V39" s="15">
        <f>IFERROR(Tabela1[[#This Row],[Valor]]/Tabela1[[#This Row],[Km]],"")</f>
        <v>1.2183599999999999</v>
      </c>
      <c r="W39" s="16">
        <f>IFERROR(Tabela1[[#This Row],[Valor]]/Tabela1[[#This Row],[Corrida]],"")</f>
        <v>33.843333333333334</v>
      </c>
      <c r="X39" s="23">
        <f>IFERROR(Tabela1[[#This Row],[Km]]/Tabela1[[#This Row],[Corrida]],"")</f>
        <v>27.777777777777779</v>
      </c>
    </row>
    <row r="40" spans="1:24" x14ac:dyDescent="0.25">
      <c r="A40" s="26">
        <v>46164</v>
      </c>
      <c r="B40" s="26" t="str">
        <f t="shared" si="5"/>
        <v>22</v>
      </c>
      <c r="C40" s="31" t="str">
        <f t="shared" si="6"/>
        <v>maio</v>
      </c>
      <c r="D40" s="13">
        <f t="shared" si="7"/>
        <v>2026</v>
      </c>
      <c r="E40" s="13" t="str">
        <f t="shared" si="10"/>
        <v>sex</v>
      </c>
      <c r="F40" s="13">
        <f t="shared" si="8"/>
        <v>21</v>
      </c>
      <c r="G40" s="13" t="str">
        <f t="shared" si="9"/>
        <v>Semana</v>
      </c>
      <c r="H40" s="45" t="s">
        <v>46</v>
      </c>
      <c r="I40" s="13">
        <v>5</v>
      </c>
      <c r="J40" s="13">
        <v>144.80000000000001</v>
      </c>
      <c r="K40" s="13">
        <v>4</v>
      </c>
      <c r="L40" s="22">
        <v>145.24</v>
      </c>
      <c r="M40" s="15">
        <f>SUM(Tabela1[[#This Row],[Valor]]-Tabela1[[#This Row],[Combustível]])</f>
        <v>45.710000000000008</v>
      </c>
      <c r="N40" s="15">
        <v>99.53</v>
      </c>
      <c r="O40" s="13">
        <v>25.4</v>
      </c>
      <c r="P40" s="45" t="s">
        <v>47</v>
      </c>
      <c r="Q40" s="15">
        <v>0</v>
      </c>
      <c r="R40" s="15">
        <v>0</v>
      </c>
      <c r="S40" s="15">
        <f>SUM(Tabela1[[#This Row],[Valor]]-Tabela1[[#This Row],[Alimentação]]-Tabela1[[#This Row],[Manutenção]]-Tabela1[[#This Row],[Combustível]])</f>
        <v>45.710000000000008</v>
      </c>
      <c r="T40" s="13">
        <v>10.3</v>
      </c>
      <c r="U40" s="15">
        <f>IFERROR(Tabela1[[#This Row],[Km]]/Tabela1[[#This Row],[Horas]],"")</f>
        <v>36.200000000000003</v>
      </c>
      <c r="V40" s="15">
        <f>IFERROR(Tabela1[[#This Row],[Valor]]/Tabela1[[#This Row],[Km]],"")</f>
        <v>1.0030386740331492</v>
      </c>
      <c r="W40" s="16">
        <f>IFERROR(Tabela1[[#This Row],[Valor]]/Tabela1[[#This Row],[Corrida]],"")</f>
        <v>29.048000000000002</v>
      </c>
      <c r="X40" s="23">
        <f>IFERROR(Tabela1[[#This Row],[Km]]/Tabela1[[#This Row],[Corrida]],"")</f>
        <v>28.96</v>
      </c>
    </row>
    <row r="41" spans="1:24" x14ac:dyDescent="0.25">
      <c r="A41" s="26">
        <v>46164</v>
      </c>
      <c r="B41" s="26" t="str">
        <f t="shared" si="5"/>
        <v>22</v>
      </c>
      <c r="C41" s="31" t="str">
        <f t="shared" si="6"/>
        <v>maio</v>
      </c>
      <c r="D41" s="13">
        <f t="shared" si="7"/>
        <v>2026</v>
      </c>
      <c r="E41" s="13" t="str">
        <f t="shared" si="10"/>
        <v>sex</v>
      </c>
      <c r="F41" s="13">
        <f t="shared" si="8"/>
        <v>21</v>
      </c>
      <c r="G41" s="13" t="str">
        <f t="shared" si="9"/>
        <v>Semana</v>
      </c>
      <c r="H41" s="13">
        <v>99</v>
      </c>
      <c r="I41" s="13">
        <v>1</v>
      </c>
      <c r="J41" s="13">
        <v>45</v>
      </c>
      <c r="K41" s="13">
        <v>1</v>
      </c>
      <c r="L41" s="22">
        <v>51.6</v>
      </c>
      <c r="M41" s="15">
        <f>SUM(Tabela1[[#This Row],[Valor]]-Tabela1[[#This Row],[Combustível]])</f>
        <v>51.6</v>
      </c>
      <c r="N41" s="15">
        <v>0</v>
      </c>
      <c r="O41" s="13">
        <v>0</v>
      </c>
      <c r="P41" s="45" t="s">
        <v>47</v>
      </c>
      <c r="Q41" s="15">
        <v>0</v>
      </c>
      <c r="R41" s="15">
        <v>0</v>
      </c>
      <c r="S41" s="15">
        <f>SUM(Tabela1[[#This Row],[Valor]]-Tabela1[[#This Row],[Alimentação]]-Tabela1[[#This Row],[Manutenção]]-Tabela1[[#This Row],[Combustível]])</f>
        <v>51.6</v>
      </c>
      <c r="T41" s="13">
        <v>10.3</v>
      </c>
      <c r="U41" s="15">
        <f>IFERROR(Tabela1[[#This Row],[Km]]/Tabela1[[#This Row],[Horas]],"")</f>
        <v>45</v>
      </c>
      <c r="V41" s="15">
        <f>IFERROR(Tabela1[[#This Row],[Valor]]/Tabela1[[#This Row],[Km]],"")</f>
        <v>1.1466666666666667</v>
      </c>
      <c r="W41" s="16">
        <f>IFERROR(Tabela1[[#This Row],[Valor]]/Tabela1[[#This Row],[Corrida]],"")</f>
        <v>51.6</v>
      </c>
      <c r="X41" s="23">
        <f>IFERROR(Tabela1[[#This Row],[Km]]/Tabela1[[#This Row],[Corrida]],"")</f>
        <v>45</v>
      </c>
    </row>
    <row r="42" spans="1:24" x14ac:dyDescent="0.25">
      <c r="A42" s="26">
        <v>46170</v>
      </c>
      <c r="B42" s="26" t="str">
        <f t="shared" si="5"/>
        <v>28</v>
      </c>
      <c r="C42" s="31" t="str">
        <f t="shared" si="6"/>
        <v>maio</v>
      </c>
      <c r="D42" s="13">
        <f t="shared" si="7"/>
        <v>2026</v>
      </c>
      <c r="E42" s="13" t="str">
        <f t="shared" si="10"/>
        <v>qui</v>
      </c>
      <c r="F42" s="13">
        <f t="shared" si="8"/>
        <v>22</v>
      </c>
      <c r="G42" s="13" t="str">
        <f t="shared" si="9"/>
        <v>Semana</v>
      </c>
      <c r="H42" s="13" t="s">
        <v>46</v>
      </c>
      <c r="I42" s="13">
        <v>2</v>
      </c>
      <c r="J42" s="13">
        <v>50</v>
      </c>
      <c r="K42" s="13">
        <v>3</v>
      </c>
      <c r="L42" s="22">
        <v>20.82</v>
      </c>
      <c r="M42" s="15">
        <f>SUM(Tabela1[[#This Row],[Valor]]-Tabela1[[#This Row],[Combustível]])</f>
        <v>-56.410000000000004</v>
      </c>
      <c r="N42" s="15">
        <v>77.23</v>
      </c>
      <c r="O42" s="13">
        <v>20</v>
      </c>
      <c r="P42" s="13" t="s">
        <v>47</v>
      </c>
      <c r="Q42" s="15">
        <v>10</v>
      </c>
      <c r="R42" s="15">
        <v>0</v>
      </c>
      <c r="S42" s="15">
        <f>SUM(Tabela1[[#This Row],[Valor]]-Tabela1[[#This Row],[Alimentação]]-Tabela1[[#This Row],[Manutenção]]-Tabela1[[#This Row],[Combustível]])</f>
        <v>-66.41</v>
      </c>
      <c r="T42" s="13">
        <v>9.5</v>
      </c>
      <c r="U42" s="15">
        <f>IFERROR(Tabela1[[#This Row],[Km]]/Tabela1[[#This Row],[Horas]],"")</f>
        <v>16.666666666666668</v>
      </c>
      <c r="V42" s="15">
        <f>IFERROR(Tabela1[[#This Row],[Valor]]/Tabela1[[#This Row],[Km]],"")</f>
        <v>0.41639999999999999</v>
      </c>
      <c r="W42" s="16">
        <f>IFERROR(Tabela1[[#This Row],[Valor]]/Tabela1[[#This Row],[Corrida]],"")</f>
        <v>10.41</v>
      </c>
      <c r="X42" s="23">
        <f>IFERROR(Tabela1[[#This Row],[Km]]/Tabela1[[#This Row],[Corrida]],"")</f>
        <v>25</v>
      </c>
    </row>
    <row r="43" spans="1:24" x14ac:dyDescent="0.25">
      <c r="A43" s="26">
        <v>46170</v>
      </c>
      <c r="B43" s="26" t="str">
        <f t="shared" si="5"/>
        <v>28</v>
      </c>
      <c r="C43" s="31" t="str">
        <f t="shared" si="6"/>
        <v>maio</v>
      </c>
      <c r="D43" s="13">
        <f t="shared" si="7"/>
        <v>2026</v>
      </c>
      <c r="E43" s="13" t="str">
        <f t="shared" si="10"/>
        <v>qui</v>
      </c>
      <c r="F43" s="13">
        <f t="shared" si="8"/>
        <v>22</v>
      </c>
      <c r="G43" s="13" t="str">
        <f t="shared" si="9"/>
        <v>Semana</v>
      </c>
      <c r="H43" s="13">
        <v>99</v>
      </c>
      <c r="I43" s="13">
        <v>3</v>
      </c>
      <c r="J43" s="13">
        <v>50</v>
      </c>
      <c r="K43" s="13">
        <v>3</v>
      </c>
      <c r="L43" s="22">
        <v>84.93</v>
      </c>
      <c r="M43" s="15">
        <f>SUM(Tabela1[[#This Row],[Valor]]-Tabela1[[#This Row],[Combustível]])</f>
        <v>7.7000000000000028</v>
      </c>
      <c r="N43" s="15">
        <v>77.23</v>
      </c>
      <c r="O43" s="13">
        <v>21</v>
      </c>
      <c r="P43" s="13" t="s">
        <v>47</v>
      </c>
      <c r="Q43" s="15">
        <v>7</v>
      </c>
      <c r="R43" s="15">
        <v>0</v>
      </c>
      <c r="S43" s="15">
        <f>SUM(Tabela1[[#This Row],[Valor]]-Tabela1[[#This Row],[Alimentação]]-Tabela1[[#This Row],[Manutenção]]-Tabela1[[#This Row],[Combustível]])</f>
        <v>0.70000000000000284</v>
      </c>
      <c r="T43" s="13">
        <v>9.5</v>
      </c>
      <c r="U43" s="15">
        <f>IFERROR(Tabela1[[#This Row],[Km]]/Tabela1[[#This Row],[Horas]],"")</f>
        <v>16.666666666666668</v>
      </c>
      <c r="V43" s="15">
        <f>IFERROR(Tabela1[[#This Row],[Valor]]/Tabela1[[#This Row],[Km]],"")</f>
        <v>1.6986000000000001</v>
      </c>
      <c r="W43" s="16">
        <f>IFERROR(Tabela1[[#This Row],[Valor]]/Tabela1[[#This Row],[Corrida]],"")</f>
        <v>28.310000000000002</v>
      </c>
      <c r="X43" s="23">
        <f>IFERROR(Tabela1[[#This Row],[Km]]/Tabela1[[#This Row],[Corrida]],"")</f>
        <v>16.666666666666668</v>
      </c>
    </row>
    <row r="44" spans="1:24" x14ac:dyDescent="0.25">
      <c r="A44" s="26">
        <v>46171</v>
      </c>
      <c r="B44" s="26" t="str">
        <f t="shared" si="5"/>
        <v>29</v>
      </c>
      <c r="C44" s="31" t="str">
        <f t="shared" si="6"/>
        <v>maio</v>
      </c>
      <c r="D44" s="13">
        <f t="shared" si="7"/>
        <v>2026</v>
      </c>
      <c r="E44" s="13" t="str">
        <f t="shared" si="10"/>
        <v>sex</v>
      </c>
      <c r="F44" s="13">
        <f t="shared" si="8"/>
        <v>22</v>
      </c>
      <c r="G44" s="13" t="str">
        <f t="shared" si="9"/>
        <v>Semana</v>
      </c>
      <c r="H44" s="13" t="s">
        <v>46</v>
      </c>
      <c r="I44" s="13">
        <v>8</v>
      </c>
      <c r="J44" s="13">
        <v>163.28</v>
      </c>
      <c r="K44" s="13">
        <v>5</v>
      </c>
      <c r="L44" s="22">
        <v>220.47</v>
      </c>
      <c r="M44" s="15">
        <f>SUM(Tabela1[[#This Row],[Valor]]-Tabela1[[#This Row],[Combustível]])</f>
        <v>220.47</v>
      </c>
      <c r="N44" s="15">
        <v>0</v>
      </c>
      <c r="O44" s="13">
        <v>0</v>
      </c>
      <c r="P44" s="13" t="s">
        <v>47</v>
      </c>
      <c r="Q44" s="15">
        <v>5</v>
      </c>
      <c r="R44" s="15">
        <v>157.16999999999999</v>
      </c>
      <c r="S44" s="15">
        <f>SUM(Tabela1[[#This Row],[Valor]]-Tabela1[[#This Row],[Alimentação]]-Tabela1[[#This Row],[Manutenção]]-Tabela1[[#This Row],[Combustível]])</f>
        <v>58.300000000000011</v>
      </c>
      <c r="T44" s="13">
        <v>9.5</v>
      </c>
      <c r="U44" s="15">
        <f>IFERROR(Tabela1[[#This Row],[Km]]/Tabela1[[#This Row],[Horas]],"")</f>
        <v>32.655999999999999</v>
      </c>
      <c r="V44" s="15">
        <f>IFERROR(Tabela1[[#This Row],[Valor]]/Tabela1[[#This Row],[Km]],"")</f>
        <v>1.3502572268495836</v>
      </c>
      <c r="W44" s="16">
        <f>IFERROR(Tabela1[[#This Row],[Valor]]/Tabela1[[#This Row],[Corrida]],"")</f>
        <v>27.55875</v>
      </c>
      <c r="X44" s="23">
        <f>IFERROR(Tabela1[[#This Row],[Km]]/Tabela1[[#This Row],[Corrida]],"")</f>
        <v>20.41</v>
      </c>
    </row>
    <row r="45" spans="1:24" x14ac:dyDescent="0.25">
      <c r="A45" s="26">
        <v>46171</v>
      </c>
      <c r="B45" s="26" t="str">
        <f t="shared" si="5"/>
        <v>29</v>
      </c>
      <c r="C45" s="31" t="str">
        <f t="shared" si="6"/>
        <v>maio</v>
      </c>
      <c r="D45" s="13">
        <f t="shared" si="7"/>
        <v>2026</v>
      </c>
      <c r="E45" s="13" t="str">
        <f t="shared" si="10"/>
        <v>sex</v>
      </c>
      <c r="F45" s="13">
        <f t="shared" si="8"/>
        <v>22</v>
      </c>
      <c r="G45" s="13" t="str">
        <f t="shared" si="9"/>
        <v>Semana</v>
      </c>
      <c r="H45" s="13">
        <v>99</v>
      </c>
      <c r="I45" s="13">
        <v>4</v>
      </c>
      <c r="J45" s="13">
        <v>81.66</v>
      </c>
      <c r="K45" s="13">
        <v>3</v>
      </c>
      <c r="L45" s="22">
        <v>103.68</v>
      </c>
      <c r="M45" s="15">
        <f>SUM(Tabela1[[#This Row],[Valor]]-Tabela1[[#This Row],[Combustível]])</f>
        <v>103.68</v>
      </c>
      <c r="N45" s="15">
        <v>0</v>
      </c>
      <c r="O45" s="13">
        <v>0</v>
      </c>
      <c r="P45" s="13" t="s">
        <v>47</v>
      </c>
      <c r="Q45" s="15">
        <v>5</v>
      </c>
      <c r="R45" s="15">
        <v>157.16999999999999</v>
      </c>
      <c r="S45" s="15">
        <f>SUM(Tabela1[[#This Row],[Valor]]-Tabela1[[#This Row],[Alimentação]]-Tabela1[[#This Row],[Manutenção]]-Tabela1[[#This Row],[Combustível]])</f>
        <v>-58.489999999999981</v>
      </c>
      <c r="T45" s="13">
        <v>9.5</v>
      </c>
      <c r="U45" s="15">
        <f>IFERROR(Tabela1[[#This Row],[Km]]/Tabela1[[#This Row],[Horas]],"")</f>
        <v>27.22</v>
      </c>
      <c r="V45" s="15">
        <f>IFERROR(Tabela1[[#This Row],[Valor]]/Tabela1[[#This Row],[Km]],"")</f>
        <v>1.2696546656869949</v>
      </c>
      <c r="W45" s="16">
        <f>IFERROR(Tabela1[[#This Row],[Valor]]/Tabela1[[#This Row],[Corrida]],"")</f>
        <v>25.92</v>
      </c>
      <c r="X45" s="23">
        <f>IFERROR(Tabela1[[#This Row],[Km]]/Tabela1[[#This Row],[Corrida]],"")</f>
        <v>20.414999999999999</v>
      </c>
    </row>
    <row r="46" spans="1:24" x14ac:dyDescent="0.25">
      <c r="A46" s="26">
        <v>46172</v>
      </c>
      <c r="B46" s="26" t="str">
        <f t="shared" si="5"/>
        <v>30</v>
      </c>
      <c r="C46" s="31" t="str">
        <f t="shared" si="6"/>
        <v>maio</v>
      </c>
      <c r="D46" s="13">
        <f t="shared" si="7"/>
        <v>2026</v>
      </c>
      <c r="E46" s="13" t="str">
        <f t="shared" si="10"/>
        <v>sáb</v>
      </c>
      <c r="F46" s="13">
        <f t="shared" si="8"/>
        <v>22</v>
      </c>
      <c r="G46" s="13" t="str">
        <f t="shared" si="9"/>
        <v>Final de semana</v>
      </c>
      <c r="H46" s="13" t="s">
        <v>46</v>
      </c>
      <c r="I46" s="13">
        <v>13</v>
      </c>
      <c r="J46" s="13">
        <v>280.39999999999998</v>
      </c>
      <c r="K46" s="13">
        <v>8</v>
      </c>
      <c r="L46" s="22">
        <v>374.3</v>
      </c>
      <c r="M46" s="15">
        <f>SUM(Tabela1[[#This Row],[Valor]]-Tabela1[[#This Row],[Combustível]])</f>
        <v>220.68</v>
      </c>
      <c r="N46" s="15">
        <v>153.62</v>
      </c>
      <c r="O46" s="13">
        <v>41</v>
      </c>
      <c r="P46" s="13" t="s">
        <v>47</v>
      </c>
      <c r="Q46" s="15">
        <v>0</v>
      </c>
      <c r="R46" s="15">
        <v>40</v>
      </c>
      <c r="S46" s="15">
        <f>SUM(Tabela1[[#This Row],[Valor]]-Tabela1[[#This Row],[Alimentação]]-Tabela1[[#This Row],[Manutenção]]-Tabela1[[#This Row],[Combustível]])</f>
        <v>180.68</v>
      </c>
      <c r="T46" s="13">
        <v>10</v>
      </c>
      <c r="U46" s="15">
        <f>IFERROR(Tabela1[[#This Row],[Km]]/Tabela1[[#This Row],[Horas]],"")</f>
        <v>35.049999999999997</v>
      </c>
      <c r="V46" s="15">
        <f>IFERROR(Tabela1[[#This Row],[Valor]]/Tabela1[[#This Row],[Km]],"")</f>
        <v>1.3348787446504995</v>
      </c>
      <c r="W46" s="16">
        <f>IFERROR(Tabela1[[#This Row],[Valor]]/Tabela1[[#This Row],[Corrida]],"")</f>
        <v>28.792307692307695</v>
      </c>
      <c r="X46" s="23">
        <f>IFERROR(Tabela1[[#This Row],[Km]]/Tabela1[[#This Row],[Corrida]],"")</f>
        <v>21.569230769230767</v>
      </c>
    </row>
    <row r="47" spans="1:24" x14ac:dyDescent="0.25">
      <c r="A47" s="26">
        <v>46185</v>
      </c>
      <c r="B47" s="26" t="str">
        <f t="shared" si="5"/>
        <v>12</v>
      </c>
      <c r="C47" s="31" t="str">
        <f t="shared" si="6"/>
        <v>junho</v>
      </c>
      <c r="D47" s="13">
        <f t="shared" si="7"/>
        <v>2026</v>
      </c>
      <c r="E47" s="13" t="str">
        <f t="shared" si="10"/>
        <v>sex</v>
      </c>
      <c r="F47" s="13">
        <f t="shared" si="8"/>
        <v>24</v>
      </c>
      <c r="G47" s="13" t="str">
        <f t="shared" si="9"/>
        <v>Semana</v>
      </c>
      <c r="H47" s="13" t="s">
        <v>46</v>
      </c>
      <c r="I47" s="13">
        <v>4</v>
      </c>
      <c r="J47" s="13">
        <v>89</v>
      </c>
      <c r="K47" s="13">
        <v>5</v>
      </c>
      <c r="L47" s="22">
        <v>127.36</v>
      </c>
      <c r="M47" s="15">
        <f>SUM(Tabela1[[#This Row],[Valor]]-Tabela1[[#This Row],[Combustível]])</f>
        <v>127.36</v>
      </c>
      <c r="N47" s="15">
        <v>0</v>
      </c>
      <c r="O47" s="13">
        <v>0</v>
      </c>
      <c r="P47" s="13" t="s">
        <v>47</v>
      </c>
      <c r="Q47" s="15">
        <v>0</v>
      </c>
      <c r="R47" s="15">
        <v>0</v>
      </c>
      <c r="S47" s="15">
        <f>SUM(Tabela1[[#This Row],[Valor]]-Tabela1[[#This Row],[Alimentação]]-Tabela1[[#This Row],[Manutenção]]-Tabela1[[#This Row],[Combustível]])</f>
        <v>127.36</v>
      </c>
      <c r="T47" s="13">
        <v>8.8000000000000007</v>
      </c>
      <c r="U47" s="15">
        <f>IFERROR(Tabela1[[#This Row],[Km]]/Tabela1[[#This Row],[Horas]],"")</f>
        <v>17.8</v>
      </c>
      <c r="V47" s="15">
        <f>IFERROR(Tabela1[[#This Row],[Valor]]/Tabela1[[#This Row],[Km]],"")</f>
        <v>1.4310112359550562</v>
      </c>
      <c r="W47" s="16">
        <f>IFERROR(Tabela1[[#This Row],[Valor]]/Tabela1[[#This Row],[Corrida]],"")</f>
        <v>31.84</v>
      </c>
      <c r="X47" s="23">
        <f>IFERROR(Tabela1[[#This Row],[Km]]/Tabela1[[#This Row],[Corrida]],"")</f>
        <v>22.25</v>
      </c>
    </row>
    <row r="48" spans="1:24" x14ac:dyDescent="0.25">
      <c r="A48" s="26">
        <v>46185</v>
      </c>
      <c r="B48" s="26" t="str">
        <f t="shared" si="5"/>
        <v>12</v>
      </c>
      <c r="C48" s="31" t="str">
        <f t="shared" si="6"/>
        <v>junho</v>
      </c>
      <c r="D48" s="13">
        <f t="shared" si="7"/>
        <v>2026</v>
      </c>
      <c r="E48" s="13" t="str">
        <f t="shared" si="10"/>
        <v>sex</v>
      </c>
      <c r="F48" s="13">
        <f t="shared" si="8"/>
        <v>24</v>
      </c>
      <c r="G48" s="13" t="str">
        <f t="shared" si="9"/>
        <v>Semana</v>
      </c>
      <c r="H48" s="13">
        <v>99</v>
      </c>
      <c r="I48" s="13">
        <v>4</v>
      </c>
      <c r="J48" s="13">
        <v>89</v>
      </c>
      <c r="K48" s="13">
        <v>3</v>
      </c>
      <c r="L48" s="22">
        <v>141</v>
      </c>
      <c r="M48" s="15">
        <f>SUM(Tabela1[[#This Row],[Valor]]-Tabela1[[#This Row],[Combustível]])</f>
        <v>27.950000000000003</v>
      </c>
      <c r="N48" s="15">
        <v>113.05</v>
      </c>
      <c r="O48" s="13">
        <v>32</v>
      </c>
      <c r="P48" s="13" t="s">
        <v>47</v>
      </c>
      <c r="Q48" s="15">
        <v>0</v>
      </c>
      <c r="R48" s="15">
        <v>0</v>
      </c>
      <c r="S48" s="15">
        <f>SUM(Tabela1[[#This Row],[Valor]]-Tabela1[[#This Row],[Alimentação]]-Tabela1[[#This Row],[Manutenção]]-Tabela1[[#This Row],[Combustível]])</f>
        <v>27.950000000000003</v>
      </c>
      <c r="T48" s="13">
        <v>8.8000000000000007</v>
      </c>
      <c r="U48" s="15">
        <f>IFERROR(Tabela1[[#This Row],[Km]]/Tabela1[[#This Row],[Horas]],"")</f>
        <v>29.666666666666668</v>
      </c>
      <c r="V48" s="15">
        <f>IFERROR(Tabela1[[#This Row],[Valor]]/Tabela1[[#This Row],[Km]],"")</f>
        <v>1.5842696629213484</v>
      </c>
      <c r="W48" s="16">
        <f>IFERROR(Tabela1[[#This Row],[Valor]]/Tabela1[[#This Row],[Corrida]],"")</f>
        <v>35.25</v>
      </c>
      <c r="X48" s="23">
        <f>IFERROR(Tabela1[[#This Row],[Km]]/Tabela1[[#This Row],[Corrida]],"")</f>
        <v>22.25</v>
      </c>
    </row>
    <row r="49" spans="1:24" x14ac:dyDescent="0.25">
      <c r="A49" s="26">
        <v>46187</v>
      </c>
      <c r="B49" s="26" t="str">
        <f t="shared" si="5"/>
        <v>14</v>
      </c>
      <c r="C49" s="31" t="str">
        <f t="shared" si="6"/>
        <v>junho</v>
      </c>
      <c r="D49" s="13">
        <f t="shared" si="7"/>
        <v>2026</v>
      </c>
      <c r="E49" s="13" t="str">
        <f t="shared" si="10"/>
        <v>dom</v>
      </c>
      <c r="F49" s="13">
        <f t="shared" si="8"/>
        <v>25</v>
      </c>
      <c r="G49" s="13" t="str">
        <f t="shared" si="9"/>
        <v>Final de semana</v>
      </c>
      <c r="H49" s="13" t="s">
        <v>46</v>
      </c>
      <c r="I49" s="13">
        <v>10</v>
      </c>
      <c r="J49" s="13">
        <v>240.7</v>
      </c>
      <c r="K49" s="13">
        <v>7</v>
      </c>
      <c r="L49" s="22">
        <v>324.11</v>
      </c>
      <c r="M49" s="15">
        <f>SUM(Tabela1[[#This Row],[Valor]]-Tabela1[[#This Row],[Combustível]])</f>
        <v>197.99</v>
      </c>
      <c r="N49" s="15">
        <v>126.12</v>
      </c>
      <c r="O49" s="13">
        <v>35</v>
      </c>
      <c r="P49" s="13" t="s">
        <v>47</v>
      </c>
      <c r="Q49" s="15">
        <v>0</v>
      </c>
      <c r="R49" s="15">
        <v>0</v>
      </c>
      <c r="S49" s="15">
        <f>SUM(Tabela1[[#This Row],[Valor]]-Tabela1[[#This Row],[Alimentação]]-Tabela1[[#This Row],[Manutenção]]-Tabela1[[#This Row],[Combustível]])</f>
        <v>197.99</v>
      </c>
      <c r="T49" s="13">
        <v>10</v>
      </c>
      <c r="U49" s="15">
        <f>IFERROR(Tabela1[[#This Row],[Km]]/Tabela1[[#This Row],[Horas]],"")</f>
        <v>34.385714285714286</v>
      </c>
      <c r="V49" s="15">
        <f>IFERROR(Tabela1[[#This Row],[Valor]]/Tabela1[[#This Row],[Km]],"")</f>
        <v>1.346530951391774</v>
      </c>
      <c r="W49" s="16">
        <f>IFERROR(Tabela1[[#This Row],[Valor]]/Tabela1[[#This Row],[Corrida]],"")</f>
        <v>32.411000000000001</v>
      </c>
      <c r="X49" s="23">
        <f>IFERROR(Tabela1[[#This Row],[Km]]/Tabela1[[#This Row],[Corrida]],"")</f>
        <v>24.07</v>
      </c>
    </row>
    <row r="50" spans="1:24" x14ac:dyDescent="0.25">
      <c r="A50" s="26">
        <v>46187</v>
      </c>
      <c r="B50" s="26" t="str">
        <f t="shared" si="5"/>
        <v>14</v>
      </c>
      <c r="C50" s="31" t="str">
        <f t="shared" si="6"/>
        <v>junho</v>
      </c>
      <c r="D50" s="13">
        <f t="shared" si="7"/>
        <v>2026</v>
      </c>
      <c r="E50" s="13" t="str">
        <f t="shared" si="10"/>
        <v>dom</v>
      </c>
      <c r="F50" s="13">
        <f t="shared" si="8"/>
        <v>25</v>
      </c>
      <c r="G50" s="13" t="str">
        <f t="shared" si="9"/>
        <v>Final de semana</v>
      </c>
      <c r="H50" s="13">
        <v>99</v>
      </c>
      <c r="I50" s="13">
        <v>4</v>
      </c>
      <c r="J50" s="13">
        <v>96</v>
      </c>
      <c r="K50" s="13">
        <v>3</v>
      </c>
      <c r="L50" s="22">
        <v>125.5</v>
      </c>
      <c r="M50" s="15">
        <f>SUM(Tabela1[[#This Row],[Valor]]-Tabela1[[#This Row],[Combustível]])</f>
        <v>125.5</v>
      </c>
      <c r="N50" s="15">
        <v>0</v>
      </c>
      <c r="O50" s="13">
        <v>0</v>
      </c>
      <c r="P50" s="13" t="s">
        <v>47</v>
      </c>
      <c r="Q50" s="15">
        <v>9</v>
      </c>
      <c r="R50" s="15">
        <v>0</v>
      </c>
      <c r="S50" s="15">
        <f>SUM(Tabela1[[#This Row],[Valor]]-Tabela1[[#This Row],[Alimentação]]-Tabela1[[#This Row],[Manutenção]]-Tabela1[[#This Row],[Combustível]])</f>
        <v>116.5</v>
      </c>
      <c r="T50" s="13">
        <v>10</v>
      </c>
      <c r="U50" s="15">
        <f>IFERROR(Tabela1[[#This Row],[Km]]/Tabela1[[#This Row],[Horas]],"")</f>
        <v>32</v>
      </c>
      <c r="V50" s="15">
        <f>IFERROR(Tabela1[[#This Row],[Valor]]/Tabela1[[#This Row],[Km]],"")</f>
        <v>1.3072916666666667</v>
      </c>
      <c r="W50" s="16">
        <f>IFERROR(Tabela1[[#This Row],[Valor]]/Tabela1[[#This Row],[Corrida]],"")</f>
        <v>31.375</v>
      </c>
      <c r="X50" s="23">
        <f>IFERROR(Tabela1[[#This Row],[Km]]/Tabela1[[#This Row],[Corrida]],"")</f>
        <v>24</v>
      </c>
    </row>
    <row r="51" spans="1:24" x14ac:dyDescent="0.25">
      <c r="A51" s="26">
        <v>46191</v>
      </c>
      <c r="B51" s="26" t="str">
        <f t="shared" si="5"/>
        <v>18</v>
      </c>
      <c r="C51" s="31" t="str">
        <f t="shared" si="6"/>
        <v>junho</v>
      </c>
      <c r="D51" s="13">
        <f t="shared" si="7"/>
        <v>2026</v>
      </c>
      <c r="E51" s="13" t="str">
        <f t="shared" si="10"/>
        <v>qui</v>
      </c>
      <c r="F51" s="13">
        <f t="shared" si="8"/>
        <v>25</v>
      </c>
      <c r="G51" s="13" t="str">
        <f t="shared" si="9"/>
        <v>Semana</v>
      </c>
      <c r="H51" s="13" t="s">
        <v>46</v>
      </c>
      <c r="I51" s="13">
        <v>4</v>
      </c>
      <c r="J51" s="13">
        <v>75.599999999999994</v>
      </c>
      <c r="K51" s="13">
        <v>4</v>
      </c>
      <c r="L51" s="22">
        <v>81.52</v>
      </c>
      <c r="M51" s="15">
        <f>SUM(Tabela1[[#This Row],[Valor]]-Tabela1[[#This Row],[Combustível]])</f>
        <v>39.33</v>
      </c>
      <c r="N51" s="15">
        <v>42.19</v>
      </c>
      <c r="O51" s="13">
        <v>10</v>
      </c>
      <c r="P51" s="13" t="s">
        <v>47</v>
      </c>
      <c r="Q51" s="15">
        <v>0</v>
      </c>
      <c r="R51" s="15">
        <v>0</v>
      </c>
      <c r="S51" s="15">
        <f>SUM(Tabela1[[#This Row],[Valor]]-Tabela1[[#This Row],[Alimentação]]-Tabela1[[#This Row],[Manutenção]]-Tabela1[[#This Row],[Combustível]])</f>
        <v>39.33</v>
      </c>
      <c r="T51" s="13">
        <v>9.9</v>
      </c>
      <c r="U51" s="15">
        <f>IFERROR(Tabela1[[#This Row],[Km]]/Tabela1[[#This Row],[Horas]],"")</f>
        <v>18.899999999999999</v>
      </c>
      <c r="V51" s="15">
        <f>IFERROR(Tabela1[[#This Row],[Valor]]/Tabela1[[#This Row],[Km]],"")</f>
        <v>1.0783068783068783</v>
      </c>
      <c r="W51" s="16">
        <f>IFERROR(Tabela1[[#This Row],[Valor]]/Tabela1[[#This Row],[Corrida]],"")</f>
        <v>20.38</v>
      </c>
      <c r="X51" s="23">
        <f>IFERROR(Tabela1[[#This Row],[Km]]/Tabela1[[#This Row],[Corrida]],"")</f>
        <v>18.899999999999999</v>
      </c>
    </row>
    <row r="52" spans="1:24" x14ac:dyDescent="0.25">
      <c r="A52" s="26">
        <v>46191</v>
      </c>
      <c r="B52" s="26" t="str">
        <f t="shared" si="5"/>
        <v>18</v>
      </c>
      <c r="C52" s="31" t="str">
        <f t="shared" si="6"/>
        <v>junho</v>
      </c>
      <c r="D52" s="13">
        <f t="shared" si="7"/>
        <v>2026</v>
      </c>
      <c r="E52" s="13" t="str">
        <f t="shared" si="10"/>
        <v>qui</v>
      </c>
      <c r="F52" s="13">
        <f t="shared" si="8"/>
        <v>25</v>
      </c>
      <c r="G52" s="13" t="str">
        <f t="shared" si="9"/>
        <v>Semana</v>
      </c>
      <c r="H52" s="13">
        <v>99</v>
      </c>
      <c r="I52" s="13">
        <v>6</v>
      </c>
      <c r="J52" s="13">
        <v>113.4</v>
      </c>
      <c r="K52" s="13">
        <v>4</v>
      </c>
      <c r="L52" s="22">
        <v>163.74</v>
      </c>
      <c r="M52" s="15">
        <f>SUM(Tabela1[[#This Row],[Valor]]-Tabela1[[#This Row],[Combustível]])</f>
        <v>85.54</v>
      </c>
      <c r="N52" s="15">
        <v>78.2</v>
      </c>
      <c r="O52" s="13">
        <v>20</v>
      </c>
      <c r="P52" s="13" t="s">
        <v>47</v>
      </c>
      <c r="Q52" s="15">
        <v>0</v>
      </c>
      <c r="R52" s="15">
        <v>0</v>
      </c>
      <c r="S52" s="15">
        <f>SUM(Tabela1[[#This Row],[Valor]]-Tabela1[[#This Row],[Alimentação]]-Tabela1[[#This Row],[Manutenção]]-Tabela1[[#This Row],[Combustível]])</f>
        <v>85.54</v>
      </c>
      <c r="T52" s="13">
        <v>9.9</v>
      </c>
      <c r="U52" s="15">
        <f>IFERROR(Tabela1[[#This Row],[Km]]/Tabela1[[#This Row],[Horas]],"")</f>
        <v>28.35</v>
      </c>
      <c r="V52" s="15">
        <f>IFERROR(Tabela1[[#This Row],[Valor]]/Tabela1[[#This Row],[Km]],"")</f>
        <v>1.4439153439153438</v>
      </c>
      <c r="W52" s="16">
        <f>IFERROR(Tabela1[[#This Row],[Valor]]/Tabela1[[#This Row],[Corrida]],"")</f>
        <v>27.290000000000003</v>
      </c>
      <c r="X52" s="23">
        <f>IFERROR(Tabela1[[#This Row],[Km]]/Tabela1[[#This Row],[Corrida]],"")</f>
        <v>18.900000000000002</v>
      </c>
    </row>
    <row r="53" spans="1:24" x14ac:dyDescent="0.25">
      <c r="A53" s="26">
        <v>46192</v>
      </c>
      <c r="B53" s="26" t="str">
        <f t="shared" si="5"/>
        <v>19</v>
      </c>
      <c r="C53" s="31" t="str">
        <f t="shared" si="6"/>
        <v>junho</v>
      </c>
      <c r="D53" s="13">
        <f t="shared" si="7"/>
        <v>2026</v>
      </c>
      <c r="E53" s="13" t="str">
        <f t="shared" si="10"/>
        <v>sex</v>
      </c>
      <c r="F53" s="13">
        <f t="shared" si="8"/>
        <v>25</v>
      </c>
      <c r="G53" s="13" t="str">
        <f t="shared" si="9"/>
        <v>Semana</v>
      </c>
      <c r="H53" s="13" t="s">
        <v>46</v>
      </c>
      <c r="I53" s="13">
        <v>4</v>
      </c>
      <c r="J53" s="13">
        <v>108.2</v>
      </c>
      <c r="K53" s="13">
        <v>4</v>
      </c>
      <c r="L53" s="22">
        <v>134.59</v>
      </c>
      <c r="M53" s="15">
        <f>SUM(Tabela1[[#This Row],[Valor]]-Tabela1[[#This Row],[Combustível]])</f>
        <v>14.620000000000005</v>
      </c>
      <c r="N53" s="15">
        <v>119.97</v>
      </c>
      <c r="O53" s="13">
        <v>33.4</v>
      </c>
      <c r="P53" s="13" t="s">
        <v>47</v>
      </c>
      <c r="Q53" s="15">
        <v>0</v>
      </c>
      <c r="R53" s="15">
        <v>0</v>
      </c>
      <c r="S53" s="15">
        <f>SUM(Tabela1[[#This Row],[Valor]]-Tabela1[[#This Row],[Alimentação]]-Tabela1[[#This Row],[Manutenção]]-Tabela1[[#This Row],[Combustível]])</f>
        <v>14.620000000000005</v>
      </c>
      <c r="T53" s="13">
        <v>9.1999999999999993</v>
      </c>
      <c r="U53" s="15">
        <f>IFERROR(Tabela1[[#This Row],[Km]]/Tabela1[[#This Row],[Horas]],"")</f>
        <v>27.05</v>
      </c>
      <c r="V53" s="15">
        <f>IFERROR(Tabela1[[#This Row],[Valor]]/Tabela1[[#This Row],[Km]],"")</f>
        <v>1.2439001848428834</v>
      </c>
      <c r="W53" s="16">
        <f>IFERROR(Tabela1[[#This Row],[Valor]]/Tabela1[[#This Row],[Corrida]],"")</f>
        <v>33.647500000000001</v>
      </c>
      <c r="X53" s="23">
        <f>IFERROR(Tabela1[[#This Row],[Km]]/Tabela1[[#This Row],[Corrida]],"")</f>
        <v>27.05</v>
      </c>
    </row>
    <row r="54" spans="1:24" x14ac:dyDescent="0.25">
      <c r="A54" s="26">
        <v>46192</v>
      </c>
      <c r="B54" s="26" t="str">
        <f t="shared" si="5"/>
        <v>19</v>
      </c>
      <c r="C54" s="31" t="str">
        <f t="shared" si="6"/>
        <v>junho</v>
      </c>
      <c r="D54" s="13">
        <f t="shared" si="7"/>
        <v>2026</v>
      </c>
      <c r="E54" s="13" t="str">
        <f t="shared" si="10"/>
        <v>sex</v>
      </c>
      <c r="F54" s="13">
        <f t="shared" si="8"/>
        <v>25</v>
      </c>
      <c r="G54" s="13" t="str">
        <f t="shared" si="9"/>
        <v>Semana</v>
      </c>
      <c r="H54" s="13">
        <v>99</v>
      </c>
      <c r="I54" s="13">
        <v>4</v>
      </c>
      <c r="J54" s="13">
        <v>108.2</v>
      </c>
      <c r="K54" s="13">
        <v>4</v>
      </c>
      <c r="L54" s="22">
        <v>113.66</v>
      </c>
      <c r="M54" s="15">
        <f>SUM(Tabela1[[#This Row],[Valor]]-Tabela1[[#This Row],[Combustível]])</f>
        <v>113.66</v>
      </c>
      <c r="N54" s="15">
        <v>0</v>
      </c>
      <c r="O54" s="13">
        <v>0</v>
      </c>
      <c r="P54" s="13" t="s">
        <v>47</v>
      </c>
      <c r="Q54" s="15">
        <v>0</v>
      </c>
      <c r="R54" s="15">
        <v>0</v>
      </c>
      <c r="S54" s="15">
        <f>SUM(Tabela1[[#This Row],[Valor]]-Tabela1[[#This Row],[Alimentação]]-Tabela1[[#This Row],[Manutenção]]-Tabela1[[#This Row],[Combustível]])</f>
        <v>113.66</v>
      </c>
      <c r="T54" s="13">
        <v>9.1999999999999993</v>
      </c>
      <c r="U54" s="15">
        <f>IFERROR(Tabela1[[#This Row],[Km]]/Tabela1[[#This Row],[Horas]],"")</f>
        <v>27.05</v>
      </c>
      <c r="V54" s="15">
        <f>IFERROR(Tabela1[[#This Row],[Valor]]/Tabela1[[#This Row],[Km]],"")</f>
        <v>1.0504621072088725</v>
      </c>
      <c r="W54" s="16">
        <f>IFERROR(Tabela1[[#This Row],[Valor]]/Tabela1[[#This Row],[Corrida]],"")</f>
        <v>28.414999999999999</v>
      </c>
      <c r="X54" s="23">
        <f>IFERROR(Tabela1[[#This Row],[Km]]/Tabela1[[#This Row],[Corrida]],"")</f>
        <v>27.05</v>
      </c>
    </row>
    <row r="55" spans="1:24" x14ac:dyDescent="0.25">
      <c r="A55" s="26">
        <v>46199</v>
      </c>
      <c r="B55" s="26" t="str">
        <f t="shared" si="5"/>
        <v>26</v>
      </c>
      <c r="C55" s="31" t="str">
        <f t="shared" si="6"/>
        <v>junho</v>
      </c>
      <c r="D55" s="13">
        <f t="shared" si="7"/>
        <v>2026</v>
      </c>
      <c r="E55" s="13" t="str">
        <f t="shared" si="10"/>
        <v>sex</v>
      </c>
      <c r="F55" s="13">
        <f t="shared" si="8"/>
        <v>26</v>
      </c>
      <c r="G55" s="13" t="str">
        <f t="shared" si="9"/>
        <v>Semana</v>
      </c>
      <c r="H55" s="13" t="s">
        <v>46</v>
      </c>
      <c r="I55" s="13">
        <v>9</v>
      </c>
      <c r="J55" s="13">
        <v>198.7</v>
      </c>
      <c r="K55" s="13">
        <v>7</v>
      </c>
      <c r="L55" s="22">
        <v>255.55</v>
      </c>
      <c r="M55" s="15">
        <f>SUM(Tabela1[[#This Row],[Valor]]-Tabela1[[#This Row],[Combustível]])</f>
        <v>192.01000000000002</v>
      </c>
      <c r="N55" s="15">
        <v>63.54</v>
      </c>
      <c r="O55" s="13">
        <v>18</v>
      </c>
      <c r="P55" s="13" t="s">
        <v>47</v>
      </c>
      <c r="Q55" s="15">
        <v>8</v>
      </c>
      <c r="R55" s="15">
        <v>0</v>
      </c>
      <c r="S55" s="15">
        <f>SUM(Tabela1[[#This Row],[Valor]]-Tabela1[[#This Row],[Alimentação]]-Tabela1[[#This Row],[Manutenção]]-Tabela1[[#This Row],[Combustível]])</f>
        <v>184.01000000000002</v>
      </c>
      <c r="T55" s="13">
        <v>9.3000000000000007</v>
      </c>
      <c r="U55" s="15">
        <f>IFERROR(Tabela1[[#This Row],[Km]]/Tabela1[[#This Row],[Horas]],"")</f>
        <v>28.385714285714283</v>
      </c>
      <c r="V55" s="15">
        <f>IFERROR(Tabela1[[#This Row],[Valor]]/Tabela1[[#This Row],[Km]],"")</f>
        <v>1.28610971313538</v>
      </c>
      <c r="W55" s="16">
        <f>IFERROR(Tabela1[[#This Row],[Valor]]/Tabela1[[#This Row],[Corrida]],"")</f>
        <v>28.394444444444446</v>
      </c>
      <c r="X55" s="23">
        <f>IFERROR(Tabela1[[#This Row],[Km]]/Tabela1[[#This Row],[Corrida]],"")</f>
        <v>22.077777777777776</v>
      </c>
    </row>
    <row r="56" spans="1:24" x14ac:dyDescent="0.25">
      <c r="A56" s="26">
        <v>46199</v>
      </c>
      <c r="B56" s="26" t="str">
        <f t="shared" si="5"/>
        <v>26</v>
      </c>
      <c r="C56" s="31" t="str">
        <f t="shared" si="6"/>
        <v>junho</v>
      </c>
      <c r="D56" s="13">
        <f t="shared" si="7"/>
        <v>2026</v>
      </c>
      <c r="E56" s="13" t="str">
        <f t="shared" si="10"/>
        <v>sex</v>
      </c>
      <c r="F56" s="13">
        <f t="shared" si="8"/>
        <v>26</v>
      </c>
      <c r="G56" s="13" t="str">
        <f t="shared" si="9"/>
        <v>Semana</v>
      </c>
      <c r="H56" s="13">
        <v>99</v>
      </c>
      <c r="I56" s="13">
        <v>4</v>
      </c>
      <c r="J56" s="13">
        <v>88.3</v>
      </c>
      <c r="K56" s="13">
        <v>2</v>
      </c>
      <c r="L56" s="22">
        <v>114.93</v>
      </c>
      <c r="M56" s="15">
        <f>SUM(Tabela1[[#This Row],[Valor]]-Tabela1[[#This Row],[Combustível]])</f>
        <v>51.390000000000008</v>
      </c>
      <c r="N56" s="15">
        <v>63.54</v>
      </c>
      <c r="O56" s="13">
        <v>18</v>
      </c>
      <c r="P56" s="13" t="s">
        <v>47</v>
      </c>
      <c r="Q56" s="15">
        <v>0</v>
      </c>
      <c r="R56" s="15">
        <v>0</v>
      </c>
      <c r="S56" s="15">
        <f>SUM(Tabela1[[#This Row],[Valor]]-Tabela1[[#This Row],[Alimentação]]-Tabela1[[#This Row],[Manutenção]]-Tabela1[[#This Row],[Combustível]])</f>
        <v>51.390000000000008</v>
      </c>
      <c r="T56" s="13">
        <v>9.3000000000000007</v>
      </c>
      <c r="U56" s="15">
        <f>IFERROR(Tabela1[[#This Row],[Km]]/Tabela1[[#This Row],[Horas]],"")</f>
        <v>44.15</v>
      </c>
      <c r="V56" s="15">
        <f>IFERROR(Tabela1[[#This Row],[Valor]]/Tabela1[[#This Row],[Km]],"")</f>
        <v>1.30158550396376</v>
      </c>
      <c r="W56" s="16">
        <f>IFERROR(Tabela1[[#This Row],[Valor]]/Tabela1[[#This Row],[Corrida]],"")</f>
        <v>28.732500000000002</v>
      </c>
      <c r="X56" s="23">
        <f>IFERROR(Tabela1[[#This Row],[Km]]/Tabela1[[#This Row],[Corrida]],"")</f>
        <v>22.074999999999999</v>
      </c>
    </row>
    <row r="57" spans="1:24" x14ac:dyDescent="0.25">
      <c r="A57" s="26">
        <v>46206</v>
      </c>
      <c r="B57" s="26" t="str">
        <f t="shared" si="5"/>
        <v>3</v>
      </c>
      <c r="C57" s="31" t="str">
        <f t="shared" si="6"/>
        <v>julho</v>
      </c>
      <c r="D57" s="13">
        <f t="shared" si="7"/>
        <v>2026</v>
      </c>
      <c r="E57" s="13" t="str">
        <f t="shared" si="10"/>
        <v>sex</v>
      </c>
      <c r="F57" s="13">
        <f t="shared" si="8"/>
        <v>27</v>
      </c>
      <c r="G57" s="13" t="str">
        <f t="shared" si="9"/>
        <v>Semana</v>
      </c>
      <c r="H57" s="13" t="s">
        <v>46</v>
      </c>
      <c r="I57" s="13">
        <v>9</v>
      </c>
      <c r="J57" s="13">
        <v>134.22999999999999</v>
      </c>
      <c r="K57" s="13">
        <v>4</v>
      </c>
      <c r="L57" s="22">
        <v>182.37</v>
      </c>
      <c r="M57" s="15">
        <f>SUM(Tabela1[[#This Row],[Valor]]-Tabela1[[#This Row],[Combustível]])</f>
        <v>64.040000000000006</v>
      </c>
      <c r="N57" s="15">
        <v>118.33</v>
      </c>
      <c r="O57" s="13">
        <v>35</v>
      </c>
      <c r="P57" s="13" t="s">
        <v>47</v>
      </c>
      <c r="Q57" s="15">
        <v>0</v>
      </c>
      <c r="R57" s="15">
        <v>0</v>
      </c>
      <c r="S57" s="15">
        <f>SUM(Tabela1[[#This Row],[Valor]]-Tabela1[[#This Row],[Alimentação]]-Tabela1[[#This Row],[Manutenção]]-Tabela1[[#This Row],[Combustível]])</f>
        <v>64.040000000000006</v>
      </c>
      <c r="T57" s="13">
        <v>8.4</v>
      </c>
      <c r="U57" s="15">
        <f>IFERROR(Tabela1[[#This Row],[Km]]/Tabela1[[#This Row],[Horas]],"")</f>
        <v>33.557499999999997</v>
      </c>
      <c r="V57" s="15">
        <f>IFERROR(Tabela1[[#This Row],[Valor]]/Tabela1[[#This Row],[Km]],"")</f>
        <v>1.3586381583848619</v>
      </c>
      <c r="W57" s="16">
        <f>IFERROR(Tabela1[[#This Row],[Valor]]/Tabela1[[#This Row],[Corrida]],"")</f>
        <v>20.263333333333335</v>
      </c>
      <c r="X57" s="23">
        <f>IFERROR(Tabela1[[#This Row],[Km]]/Tabela1[[#This Row],[Corrida]],"")</f>
        <v>14.914444444444444</v>
      </c>
    </row>
    <row r="58" spans="1:24" x14ac:dyDescent="0.25">
      <c r="A58" s="26">
        <v>46206</v>
      </c>
      <c r="B58" s="26" t="str">
        <f t="shared" si="5"/>
        <v>3</v>
      </c>
      <c r="C58" s="31" t="str">
        <f t="shared" si="6"/>
        <v>julho</v>
      </c>
      <c r="D58" s="13">
        <f t="shared" si="7"/>
        <v>2026</v>
      </c>
      <c r="E58" s="13" t="str">
        <f t="shared" si="10"/>
        <v>sex</v>
      </c>
      <c r="F58" s="13">
        <f t="shared" si="8"/>
        <v>27</v>
      </c>
      <c r="G58" s="13" t="str">
        <f t="shared" si="9"/>
        <v>Semana</v>
      </c>
      <c r="H58" s="13">
        <v>99</v>
      </c>
      <c r="I58" s="13">
        <v>4</v>
      </c>
      <c r="J58" s="13">
        <v>60</v>
      </c>
      <c r="K58" s="13">
        <v>2</v>
      </c>
      <c r="L58" s="22">
        <v>88.47</v>
      </c>
      <c r="M58" s="15">
        <f>SUM(Tabela1[[#This Row],[Valor]]-Tabela1[[#This Row],[Combustível]])</f>
        <v>88.47</v>
      </c>
      <c r="N58" s="15">
        <v>0</v>
      </c>
      <c r="O58" s="13">
        <v>0</v>
      </c>
      <c r="P58" s="13" t="s">
        <v>47</v>
      </c>
      <c r="Q58" s="15">
        <v>0</v>
      </c>
      <c r="R58" s="15">
        <v>0</v>
      </c>
      <c r="S58" s="15">
        <f>SUM(Tabela1[[#This Row],[Valor]]-Tabela1[[#This Row],[Alimentação]]-Tabela1[[#This Row],[Manutenção]]-Tabela1[[#This Row],[Combustível]])</f>
        <v>88.47</v>
      </c>
      <c r="T58" s="13">
        <v>8.4</v>
      </c>
      <c r="U58" s="15">
        <f>IFERROR(Tabela1[[#This Row],[Km]]/Tabela1[[#This Row],[Horas]],"")</f>
        <v>30</v>
      </c>
      <c r="V58" s="15">
        <f>IFERROR(Tabela1[[#This Row],[Valor]]/Tabela1[[#This Row],[Km]],"")</f>
        <v>1.4744999999999999</v>
      </c>
      <c r="W58" s="16">
        <f>IFERROR(Tabela1[[#This Row],[Valor]]/Tabela1[[#This Row],[Corrida]],"")</f>
        <v>22.1175</v>
      </c>
      <c r="X58" s="23">
        <f>IFERROR(Tabela1[[#This Row],[Km]]/Tabela1[[#This Row],[Corrida]],"")</f>
        <v>15</v>
      </c>
    </row>
    <row r="59" spans="1:24" x14ac:dyDescent="0.25">
      <c r="A59" s="26">
        <v>46207</v>
      </c>
      <c r="B59" s="26" t="str">
        <f t="shared" si="5"/>
        <v>4</v>
      </c>
      <c r="C59" s="31" t="str">
        <f t="shared" si="6"/>
        <v>julho</v>
      </c>
      <c r="D59" s="13">
        <f t="shared" si="7"/>
        <v>2026</v>
      </c>
      <c r="E59" s="13" t="str">
        <f t="shared" si="10"/>
        <v>sáb</v>
      </c>
      <c r="F59" s="13">
        <f t="shared" si="8"/>
        <v>27</v>
      </c>
      <c r="G59" s="13" t="str">
        <f t="shared" si="9"/>
        <v>Final de semana</v>
      </c>
      <c r="H59" s="13" t="s">
        <v>46</v>
      </c>
      <c r="I59" s="13">
        <v>3</v>
      </c>
      <c r="J59" s="13">
        <v>91.92</v>
      </c>
      <c r="K59" s="13">
        <v>2</v>
      </c>
      <c r="L59" s="14">
        <v>107.47</v>
      </c>
      <c r="M59" s="15">
        <f>SUM(Tabela1[[#This Row],[Valor]]-Tabela1[[#This Row],[Combustível]])</f>
        <v>107.47</v>
      </c>
      <c r="N59" s="15">
        <v>0</v>
      </c>
      <c r="O59" s="13">
        <v>0</v>
      </c>
      <c r="P59" s="13" t="s">
        <v>47</v>
      </c>
      <c r="Q59" s="15">
        <v>10</v>
      </c>
      <c r="R59" s="15">
        <v>0</v>
      </c>
      <c r="S59" s="15">
        <f>SUM(Tabela1[[#This Row],[Valor]]-Tabela1[[#This Row],[Alimentação]]-Tabela1[[#This Row],[Manutenção]]-Tabela1[[#This Row],[Combustível]])</f>
        <v>97.47</v>
      </c>
      <c r="T59" s="13">
        <v>10</v>
      </c>
      <c r="U59" s="15">
        <f>IFERROR(Tabela1[[#This Row],[Km]]/Tabela1[[#This Row],[Horas]],"")</f>
        <v>45.96</v>
      </c>
      <c r="V59" s="15">
        <f>IFERROR(Tabela1[[#This Row],[Valor]]/Tabela1[[#This Row],[Km]],"")</f>
        <v>1.1691688424717146</v>
      </c>
      <c r="W59" s="16">
        <f>IFERROR(Tabela1[[#This Row],[Valor]]/Tabela1[[#This Row],[Corrida]],"")</f>
        <v>35.823333333333331</v>
      </c>
      <c r="X59" s="23">
        <f>IFERROR(Tabela1[[#This Row],[Km]]/Tabela1[[#This Row],[Corrida]],"")</f>
        <v>30.64</v>
      </c>
    </row>
    <row r="60" spans="1:24" x14ac:dyDescent="0.25">
      <c r="A60" s="26">
        <v>46207</v>
      </c>
      <c r="B60" s="26" t="str">
        <f t="shared" si="5"/>
        <v>4</v>
      </c>
      <c r="C60" s="31" t="str">
        <f t="shared" si="6"/>
        <v>julho</v>
      </c>
      <c r="D60" s="13">
        <f t="shared" si="7"/>
        <v>2026</v>
      </c>
      <c r="E60" s="13" t="str">
        <f t="shared" si="10"/>
        <v>sáb</v>
      </c>
      <c r="F60" s="13">
        <f t="shared" si="8"/>
        <v>27</v>
      </c>
      <c r="G60" s="13" t="str">
        <f t="shared" si="9"/>
        <v>Final de semana</v>
      </c>
      <c r="H60" s="13">
        <v>99</v>
      </c>
      <c r="I60" s="13">
        <v>7</v>
      </c>
      <c r="J60" s="13">
        <v>214.48</v>
      </c>
      <c r="K60" s="13">
        <v>7</v>
      </c>
      <c r="L60" s="14">
        <v>258.04000000000002</v>
      </c>
      <c r="M60" s="15">
        <f>SUM(Tabela1[[#This Row],[Valor]]-Tabela1[[#This Row],[Combustível]])</f>
        <v>132.17000000000002</v>
      </c>
      <c r="N60" s="15">
        <v>125.87</v>
      </c>
      <c r="O60" s="13">
        <v>37.1</v>
      </c>
      <c r="P60" s="13" t="s">
        <v>47</v>
      </c>
      <c r="Q60" s="15">
        <v>0</v>
      </c>
      <c r="R60" s="15">
        <v>0</v>
      </c>
      <c r="S60" s="15">
        <f>SUM(Tabela1[[#This Row],[Valor]]-Tabela1[[#This Row],[Alimentação]]-Tabela1[[#This Row],[Manutenção]]-Tabela1[[#This Row],[Combustível]])</f>
        <v>132.17000000000002</v>
      </c>
      <c r="T60" s="13">
        <v>10</v>
      </c>
      <c r="U60" s="15">
        <f>IFERROR(Tabela1[[#This Row],[Km]]/Tabela1[[#This Row],[Horas]],"")</f>
        <v>30.639999999999997</v>
      </c>
      <c r="V60" s="15">
        <f>IFERROR(Tabela1[[#This Row],[Valor]]/Tabela1[[#This Row],[Km]],"")</f>
        <v>1.2030958597538233</v>
      </c>
      <c r="W60" s="16">
        <f>IFERROR(Tabela1[[#This Row],[Valor]]/Tabela1[[#This Row],[Corrida]],"")</f>
        <v>36.862857142857145</v>
      </c>
      <c r="X60" s="23">
        <f>IFERROR(Tabela1[[#This Row],[Km]]/Tabela1[[#This Row],[Corrida]],"")</f>
        <v>30.639999999999997</v>
      </c>
    </row>
    <row r="61" spans="1:24" x14ac:dyDescent="0.25">
      <c r="A61" s="26">
        <v>46212</v>
      </c>
      <c r="B61" s="26" t="str">
        <f t="shared" si="5"/>
        <v>9</v>
      </c>
      <c r="C61" s="31" t="str">
        <f t="shared" si="6"/>
        <v>julho</v>
      </c>
      <c r="D61" s="13">
        <f t="shared" ref="D61:D64" si="11">IF(A61="","",YEAR(A61))</f>
        <v>2026</v>
      </c>
      <c r="E61" s="13" t="str">
        <f t="shared" ref="E61:E64" si="12">IF(A61="","",TEXT(A61,"ddd"))</f>
        <v>qui</v>
      </c>
      <c r="F61" s="13">
        <f t="shared" ref="F61:F64" si="13">IF(A61="","",WEEKNUM(A61))</f>
        <v>28</v>
      </c>
      <c r="G61" s="13" t="str">
        <f t="shared" ref="G61:G64" si="14">IF(A61="","",IF(WEEKDAY(A61,2)&gt;5,"Final de semana","Semana"))</f>
        <v>Semana</v>
      </c>
      <c r="H61" s="13" t="s">
        <v>46</v>
      </c>
      <c r="I61" s="13">
        <v>6</v>
      </c>
      <c r="J61" s="13">
        <v>160</v>
      </c>
      <c r="K61" s="13">
        <v>6</v>
      </c>
      <c r="L61" s="14">
        <v>167.56</v>
      </c>
      <c r="M61" s="15">
        <f>SUM(Tabela1[[#This Row],[Valor]]-Tabela1[[#This Row],[Combustível]])</f>
        <v>62.42</v>
      </c>
      <c r="N61" s="15">
        <v>105.14</v>
      </c>
      <c r="P61" s="13" t="s">
        <v>47</v>
      </c>
      <c r="Q61" s="15">
        <v>0</v>
      </c>
      <c r="R61" s="15">
        <v>0</v>
      </c>
      <c r="S61" s="15">
        <f>SUM(Tabela1[[#This Row],[Valor]]-Tabela1[[#This Row],[Alimentação]]-Tabela1[[#This Row],[Manutenção]]-Tabela1[[#This Row],[Combustível]])</f>
        <v>62.42</v>
      </c>
      <c r="T61" s="13">
        <v>8.8000000000000007</v>
      </c>
      <c r="U61" s="15">
        <f>IFERROR(Tabela1[[#This Row],[Km]]/Tabela1[[#This Row],[Horas]],"")</f>
        <v>26.666666666666668</v>
      </c>
      <c r="V61" s="15">
        <f>IFERROR(Tabela1[[#This Row],[Valor]]/Tabela1[[#This Row],[Km]],"")</f>
        <v>1.04725</v>
      </c>
      <c r="W61" s="16">
        <f>IFERROR(Tabela1[[#This Row],[Valor]]/Tabela1[[#This Row],[Corrida]],"")</f>
        <v>27.926666666666666</v>
      </c>
      <c r="X61" s="23">
        <f>IFERROR(Tabela1[[#This Row],[Km]]/Tabela1[[#This Row],[Corrida]],"")</f>
        <v>26.666666666666668</v>
      </c>
    </row>
    <row r="62" spans="1:24" x14ac:dyDescent="0.25">
      <c r="A62" s="26">
        <v>46212</v>
      </c>
      <c r="B62" s="26" t="str">
        <f t="shared" si="5"/>
        <v>9</v>
      </c>
      <c r="C62" s="31" t="str">
        <f t="shared" si="6"/>
        <v>julho</v>
      </c>
      <c r="D62" s="13">
        <f t="shared" si="11"/>
        <v>2026</v>
      </c>
      <c r="E62" s="13" t="str">
        <f t="shared" si="12"/>
        <v>qui</v>
      </c>
      <c r="F62" s="13">
        <f t="shared" si="13"/>
        <v>28</v>
      </c>
      <c r="G62" s="13" t="str">
        <f t="shared" si="14"/>
        <v>Semana</v>
      </c>
      <c r="H62" s="13">
        <v>99</v>
      </c>
      <c r="I62" s="13">
        <v>3</v>
      </c>
      <c r="J62" s="13">
        <v>80</v>
      </c>
      <c r="K62" s="13">
        <v>2</v>
      </c>
      <c r="L62" s="14">
        <v>75.09</v>
      </c>
      <c r="M62" s="15">
        <f>SUM(Tabela1[[#This Row],[Valor]]-Tabela1[[#This Row],[Combustível]])</f>
        <v>75.09</v>
      </c>
      <c r="N62" s="15">
        <v>0</v>
      </c>
      <c r="O62" s="13">
        <v>0</v>
      </c>
      <c r="P62" s="13" t="s">
        <v>47</v>
      </c>
      <c r="Q62" s="15">
        <v>0</v>
      </c>
      <c r="R62" s="15">
        <v>0</v>
      </c>
      <c r="S62" s="15">
        <f>SUM(Tabela1[[#This Row],[Valor]]-Tabela1[[#This Row],[Alimentação]]-Tabela1[[#This Row],[Manutenção]]-Tabela1[[#This Row],[Combustível]])</f>
        <v>75.09</v>
      </c>
      <c r="T62" s="13">
        <v>8.8000000000000007</v>
      </c>
      <c r="U62" s="15">
        <f>IFERROR(Tabela1[[#This Row],[Km]]/Tabela1[[#This Row],[Horas]],"")</f>
        <v>40</v>
      </c>
      <c r="V62" s="15">
        <f>IFERROR(Tabela1[[#This Row],[Valor]]/Tabela1[[#This Row],[Km]],"")</f>
        <v>0.93862500000000004</v>
      </c>
      <c r="W62" s="16">
        <f>IFERROR(Tabela1[[#This Row],[Valor]]/Tabela1[[#This Row],[Corrida]],"")</f>
        <v>25.03</v>
      </c>
      <c r="X62" s="23">
        <f>IFERROR(Tabela1[[#This Row],[Km]]/Tabela1[[#This Row],[Corrida]],"")</f>
        <v>26.666666666666668</v>
      </c>
    </row>
    <row r="63" spans="1:24" x14ac:dyDescent="0.25">
      <c r="A63" s="26">
        <v>46213</v>
      </c>
      <c r="B63" s="26" t="str">
        <f t="shared" si="5"/>
        <v>10</v>
      </c>
      <c r="C63" s="31" t="str">
        <f t="shared" si="6"/>
        <v>julho</v>
      </c>
      <c r="D63" s="13">
        <f t="shared" si="11"/>
        <v>2026</v>
      </c>
      <c r="E63" s="13" t="str">
        <f t="shared" si="12"/>
        <v>sex</v>
      </c>
      <c r="F63" s="13">
        <f t="shared" si="13"/>
        <v>28</v>
      </c>
      <c r="G63" s="13" t="str">
        <f t="shared" si="14"/>
        <v>Semana</v>
      </c>
      <c r="H63" s="13" t="s">
        <v>46</v>
      </c>
      <c r="I63" s="13">
        <v>2</v>
      </c>
      <c r="J63" s="13">
        <v>66.34</v>
      </c>
      <c r="K63" s="13">
        <v>3</v>
      </c>
      <c r="L63" s="14">
        <v>75.02</v>
      </c>
      <c r="M63" s="15">
        <f>SUM(Tabela1[[#This Row],[Valor]]-Tabela1[[#This Row],[Combustível]])</f>
        <v>50.019999999999996</v>
      </c>
      <c r="N63" s="15">
        <v>25</v>
      </c>
      <c r="O63" s="13">
        <v>6</v>
      </c>
      <c r="P63" s="13" t="s">
        <v>47</v>
      </c>
      <c r="Q63" s="15">
        <v>0</v>
      </c>
      <c r="R63" s="15">
        <v>0</v>
      </c>
      <c r="S63" s="15">
        <f>SUM(Tabela1[[#This Row],[Valor]]-Tabela1[[#This Row],[Alimentação]]-Tabela1[[#This Row],[Manutenção]]-Tabela1[[#This Row],[Combustível]])</f>
        <v>50.019999999999996</v>
      </c>
      <c r="T63" s="13">
        <v>9.5</v>
      </c>
      <c r="U63" s="15">
        <f>IFERROR(Tabela1[[#This Row],[Km]]/Tabela1[[#This Row],[Horas]],"")</f>
        <v>22.113333333333333</v>
      </c>
      <c r="V63" s="15">
        <f>IFERROR(Tabela1[[#This Row],[Valor]]/Tabela1[[#This Row],[Km]],"")</f>
        <v>1.1308411214953269</v>
      </c>
      <c r="W63" s="16">
        <f>IFERROR(Tabela1[[#This Row],[Valor]]/Tabela1[[#This Row],[Corrida]],"")</f>
        <v>37.51</v>
      </c>
      <c r="X63" s="23">
        <f>IFERROR(Tabela1[[#This Row],[Km]]/Tabela1[[#This Row],[Corrida]],"")</f>
        <v>33.17</v>
      </c>
    </row>
    <row r="64" spans="1:24" x14ac:dyDescent="0.25">
      <c r="A64" s="26">
        <v>46213</v>
      </c>
      <c r="B64" s="26" t="str">
        <f t="shared" si="5"/>
        <v>10</v>
      </c>
      <c r="C64" s="31" t="str">
        <f t="shared" si="6"/>
        <v>julho</v>
      </c>
      <c r="D64" s="13">
        <f t="shared" si="11"/>
        <v>2026</v>
      </c>
      <c r="E64" s="13" t="str">
        <f t="shared" si="12"/>
        <v>sex</v>
      </c>
      <c r="F64" s="13">
        <f t="shared" si="13"/>
        <v>28</v>
      </c>
      <c r="G64" s="13" t="str">
        <f t="shared" si="14"/>
        <v>Semana</v>
      </c>
      <c r="H64" s="13">
        <v>99</v>
      </c>
      <c r="I64" s="13">
        <v>8</v>
      </c>
      <c r="J64" s="13">
        <v>265.36</v>
      </c>
      <c r="K64" s="13">
        <v>6</v>
      </c>
      <c r="L64" s="14">
        <v>344.41</v>
      </c>
      <c r="M64" s="15">
        <f>SUM(Tabela1[[#This Row],[Valor]]-Tabela1[[#This Row],[Combustível]])</f>
        <v>207.74000000000004</v>
      </c>
      <c r="N64" s="15">
        <v>136.66999999999999</v>
      </c>
      <c r="O64" s="13">
        <v>38.5</v>
      </c>
      <c r="P64" s="13" t="s">
        <v>47</v>
      </c>
      <c r="Q64" s="15">
        <v>0</v>
      </c>
      <c r="R64" s="15">
        <v>0</v>
      </c>
      <c r="S64" s="15">
        <f>SUM(Tabela1[[#This Row],[Valor]]-Tabela1[[#This Row],[Alimentação]]-Tabela1[[#This Row],[Manutenção]]-Tabela1[[#This Row],[Combustível]])</f>
        <v>207.74000000000004</v>
      </c>
      <c r="T64" s="13">
        <v>9.5</v>
      </c>
      <c r="U64" s="15">
        <f>IFERROR(Tabela1[[#This Row],[Km]]/Tabela1[[#This Row],[Horas]],"")</f>
        <v>44.226666666666667</v>
      </c>
      <c r="V64" s="15">
        <f>IFERROR(Tabela1[[#This Row],[Valor]]/Tabela1[[#This Row],[Km]],"")</f>
        <v>1.2978971962616823</v>
      </c>
      <c r="W64" s="16">
        <f>IFERROR(Tabela1[[#This Row],[Valor]]/Tabela1[[#This Row],[Corrida]],"")</f>
        <v>43.051250000000003</v>
      </c>
      <c r="X64" s="23">
        <f>IFERROR(Tabela1[[#This Row],[Km]]/Tabela1[[#This Row],[Corrida]],"")</f>
        <v>33.17</v>
      </c>
    </row>
    <row r="65" spans="1:24" x14ac:dyDescent="0.25">
      <c r="A65" s="26">
        <v>46214</v>
      </c>
      <c r="B65" s="26" t="str">
        <f t="shared" ref="B65:B66" si="15">IF(A65="","",TEXT(A65,"d"))</f>
        <v>11</v>
      </c>
      <c r="C65" s="31" t="str">
        <f t="shared" ref="C65:C66" si="16">IF(A65="","",TEXT(A65,"mmmm"))</f>
        <v>julho</v>
      </c>
      <c r="D65" s="13">
        <f t="shared" ref="D65:D66" si="17">IF(A65="","",YEAR(A65))</f>
        <v>2026</v>
      </c>
      <c r="E65" s="13" t="str">
        <f t="shared" ref="E65:E66" si="18">IF(A65="","",TEXT(A65,"ddd"))</f>
        <v>sáb</v>
      </c>
      <c r="F65" s="13">
        <f t="shared" ref="F65:F66" si="19">IF(A65="","",WEEKNUM(A65))</f>
        <v>28</v>
      </c>
      <c r="G65" s="13" t="str">
        <f t="shared" ref="G65:G66" si="20">IF(A65="","",IF(WEEKDAY(A65,2)&gt;5,"Final de semana","Semana"))</f>
        <v>Final de semana</v>
      </c>
      <c r="H65" s="13" t="s">
        <v>46</v>
      </c>
      <c r="I65" s="13">
        <v>12</v>
      </c>
      <c r="J65" s="13">
        <v>254.24</v>
      </c>
      <c r="K65" s="13">
        <v>7</v>
      </c>
      <c r="L65" s="14">
        <v>279.36</v>
      </c>
      <c r="M65" s="15">
        <f>SUM(Tabela1[[#This Row],[Valor]]-Tabela1[[#This Row],[Combustível]])</f>
        <v>161.02000000000001</v>
      </c>
      <c r="N65" s="15">
        <v>118.34</v>
      </c>
      <c r="O65" s="13">
        <v>33.4</v>
      </c>
      <c r="P65" s="13" t="s">
        <v>47</v>
      </c>
      <c r="Q65" s="15">
        <v>0</v>
      </c>
      <c r="R65" s="15">
        <v>0</v>
      </c>
      <c r="S65" s="15">
        <f>SUM(Tabela1[[#This Row],[Valor]]-Tabela1[[#This Row],[Alimentação]]-Tabela1[[#This Row],[Manutenção]]-Tabela1[[#This Row],[Combustível]])</f>
        <v>161.02000000000001</v>
      </c>
      <c r="T65" s="13">
        <v>9.3000000000000007</v>
      </c>
      <c r="U65" s="15">
        <f>IFERROR(Tabela1[[#This Row],[Km]]/Tabela1[[#This Row],[Horas]],"")</f>
        <v>36.32</v>
      </c>
      <c r="V65" s="15">
        <f>IFERROR(Tabela1[[#This Row],[Valor]]/Tabela1[[#This Row],[Km]],"")</f>
        <v>1.0988042794210195</v>
      </c>
      <c r="W65" s="16">
        <f>IFERROR(Tabela1[[#This Row],[Valor]]/Tabela1[[#This Row],[Corrida]],"")</f>
        <v>23.28</v>
      </c>
      <c r="X65" s="23">
        <f>IFERROR(Tabela1[[#This Row],[Km]]/Tabela1[[#This Row],[Corrida]],"")</f>
        <v>21.186666666666667</v>
      </c>
    </row>
    <row r="66" spans="1:24" x14ac:dyDescent="0.25">
      <c r="A66" s="26">
        <v>46214</v>
      </c>
      <c r="B66" s="26" t="str">
        <f t="shared" si="15"/>
        <v>11</v>
      </c>
      <c r="C66" s="31" t="str">
        <f t="shared" si="16"/>
        <v>julho</v>
      </c>
      <c r="D66" s="13">
        <f t="shared" si="17"/>
        <v>2026</v>
      </c>
      <c r="E66" s="13" t="str">
        <f t="shared" si="18"/>
        <v>sáb</v>
      </c>
      <c r="F66" s="13">
        <f t="shared" si="19"/>
        <v>28</v>
      </c>
      <c r="G66" s="13" t="str">
        <f t="shared" si="20"/>
        <v>Final de semana</v>
      </c>
      <c r="H66" s="13">
        <v>99</v>
      </c>
      <c r="I66" s="13">
        <v>3</v>
      </c>
      <c r="J66" s="13">
        <v>63.54</v>
      </c>
      <c r="K66" s="13">
        <v>2</v>
      </c>
      <c r="L66" s="14">
        <v>92</v>
      </c>
      <c r="M66" s="15">
        <f>SUM(Tabela1[[#This Row],[Valor]]-Tabela1[[#This Row],[Combustível]])</f>
        <v>92</v>
      </c>
      <c r="N66" s="15">
        <v>0</v>
      </c>
      <c r="O66" s="13">
        <v>0</v>
      </c>
      <c r="P66" s="13" t="s">
        <v>47</v>
      </c>
      <c r="Q66" s="15">
        <v>0</v>
      </c>
      <c r="R66" s="15">
        <v>0</v>
      </c>
      <c r="S66" s="15">
        <f>SUM(Tabela1[[#This Row],[Valor]]-Tabela1[[#This Row],[Alimentação]]-Tabela1[[#This Row],[Manutenção]]-Tabela1[[#This Row],[Combustível]])</f>
        <v>92</v>
      </c>
      <c r="T66" s="13">
        <v>9.3000000000000007</v>
      </c>
      <c r="U66" s="15">
        <f>IFERROR(Tabela1[[#This Row],[Km]]/Tabela1[[#This Row],[Horas]],"")</f>
        <v>31.77</v>
      </c>
      <c r="V66" s="15">
        <f>IFERROR(Tabela1[[#This Row],[Valor]]/Tabela1[[#This Row],[Km]],"")</f>
        <v>1.4479068303430911</v>
      </c>
      <c r="W66" s="16">
        <f>IFERROR(Tabela1[[#This Row],[Valor]]/Tabela1[[#This Row],[Corrida]],"")</f>
        <v>30.666666666666668</v>
      </c>
      <c r="X66" s="23">
        <f>IFERROR(Tabela1[[#This Row],[Km]]/Tabela1[[#This Row],[Corrida]],"")</f>
        <v>21.18</v>
      </c>
    </row>
    <row r="67" spans="1:24" x14ac:dyDescent="0.25">
      <c r="A67" s="26">
        <v>46221</v>
      </c>
      <c r="B67" s="26" t="str">
        <f t="shared" ref="B67:B69" si="21">IF(A67="","",TEXT(A67,"d"))</f>
        <v>18</v>
      </c>
      <c r="C67" s="31" t="str">
        <f t="shared" ref="C67:C69" si="22">IF(A67="","",TEXT(A67,"mmmm"))</f>
        <v>julho</v>
      </c>
      <c r="D67" s="13">
        <f t="shared" ref="D67:D69" si="23">IF(A67="","",YEAR(A67))</f>
        <v>2026</v>
      </c>
      <c r="E67" s="13" t="str">
        <f t="shared" ref="E67:E69" si="24">IF(A67="","",TEXT(A67,"ddd"))</f>
        <v>sáb</v>
      </c>
      <c r="F67" s="13">
        <f t="shared" ref="F67:F69" si="25">IF(A67="","",WEEKNUM(A67))</f>
        <v>29</v>
      </c>
      <c r="G67" s="13" t="str">
        <f t="shared" ref="G67:G69" si="26">IF(A67="","",IF(WEEKDAY(A67,2)&gt;5,"Final de semana","Semana"))</f>
        <v>Final de semana</v>
      </c>
      <c r="H67" s="13" t="s">
        <v>46</v>
      </c>
      <c r="I67" s="13">
        <v>10</v>
      </c>
      <c r="J67" s="13">
        <v>157.63999999999999</v>
      </c>
      <c r="K67" s="13">
        <v>7</v>
      </c>
      <c r="L67" s="14">
        <v>204.73</v>
      </c>
      <c r="M67" s="15">
        <f>SUM(Tabela1[[#This Row],[Valor]]-Tabela1[[#This Row],[Combustível]])</f>
        <v>113.24</v>
      </c>
      <c r="N67" s="15">
        <v>91.49</v>
      </c>
      <c r="O67" s="13">
        <v>27.5</v>
      </c>
      <c r="P67" s="13" t="s">
        <v>47</v>
      </c>
      <c r="Q67" s="15">
        <v>0</v>
      </c>
      <c r="R67" s="15">
        <v>0</v>
      </c>
      <c r="S67" s="15">
        <f>SUM(Tabela1[[#This Row],[Valor]]-Tabela1[[#This Row],[Alimentação]]-Tabela1[[#This Row],[Manutenção]]-Tabela1[[#This Row],[Combustível]])</f>
        <v>113.24</v>
      </c>
      <c r="T67" s="13">
        <v>8.6999999999999993</v>
      </c>
      <c r="U67" s="15">
        <f>IFERROR(Tabela1[[#This Row],[Km]]/Tabela1[[#This Row],[Horas]],"")</f>
        <v>22.52</v>
      </c>
      <c r="V67" s="15">
        <f>IFERROR(Tabela1[[#This Row],[Valor]]/Tabela1[[#This Row],[Km]],"")</f>
        <v>1.298718599340269</v>
      </c>
      <c r="W67" s="16">
        <f>IFERROR(Tabela1[[#This Row],[Valor]]/Tabela1[[#This Row],[Corrida]],"")</f>
        <v>20.472999999999999</v>
      </c>
      <c r="X67" s="23">
        <f>IFERROR(Tabela1[[#This Row],[Km]]/Tabela1[[#This Row],[Corrida]],"")</f>
        <v>15.763999999999999</v>
      </c>
    </row>
    <row r="68" spans="1:24" x14ac:dyDescent="0.25">
      <c r="A68" s="26">
        <v>46221</v>
      </c>
      <c r="B68" s="26" t="str">
        <f t="shared" si="21"/>
        <v>18</v>
      </c>
      <c r="C68" s="31" t="str">
        <f t="shared" si="22"/>
        <v>julho</v>
      </c>
      <c r="D68" s="13">
        <f t="shared" si="23"/>
        <v>2026</v>
      </c>
      <c r="E68" s="13" t="str">
        <f t="shared" si="24"/>
        <v>sáb</v>
      </c>
      <c r="F68" s="13">
        <f t="shared" si="25"/>
        <v>29</v>
      </c>
      <c r="G68" s="13" t="str">
        <f t="shared" si="26"/>
        <v>Final de semana</v>
      </c>
      <c r="H68" s="13">
        <v>99</v>
      </c>
      <c r="I68" s="13">
        <v>7</v>
      </c>
      <c r="J68" s="13">
        <v>109.9</v>
      </c>
      <c r="K68" s="13">
        <v>4</v>
      </c>
      <c r="L68" s="14">
        <v>212.81</v>
      </c>
      <c r="M68" s="15">
        <f>SUM(Tabela1[[#This Row],[Valor]]-Tabela1[[#This Row],[Combustível]])</f>
        <v>212.81</v>
      </c>
      <c r="N68" s="15">
        <v>0</v>
      </c>
      <c r="O68" s="13">
        <v>0</v>
      </c>
      <c r="P68" s="13" t="s">
        <v>47</v>
      </c>
      <c r="Q68" s="15">
        <v>30</v>
      </c>
      <c r="R68" s="15">
        <v>50</v>
      </c>
      <c r="S68" s="15">
        <f>SUM(Tabela1[[#This Row],[Valor]]-Tabela1[[#This Row],[Alimentação]]-Tabela1[[#This Row],[Manutenção]]-Tabela1[[#This Row],[Combustível]])</f>
        <v>132.81</v>
      </c>
      <c r="T68" s="13">
        <v>8.6999999999999993</v>
      </c>
      <c r="U68" s="15">
        <f>IFERROR(Tabela1[[#This Row],[Km]]/Tabela1[[#This Row],[Horas]],"")</f>
        <v>27.475000000000001</v>
      </c>
      <c r="V68" s="15">
        <f>IFERROR(Tabela1[[#This Row],[Valor]]/Tabela1[[#This Row],[Km]],"")</f>
        <v>1.9363967242948135</v>
      </c>
      <c r="W68" s="16">
        <f>IFERROR(Tabela1[[#This Row],[Valor]]/Tabela1[[#This Row],[Corrida]],"")</f>
        <v>30.401428571428571</v>
      </c>
      <c r="X68" s="23">
        <f>IFERROR(Tabela1[[#This Row],[Km]]/Tabela1[[#This Row],[Corrida]],"")</f>
        <v>15.700000000000001</v>
      </c>
    </row>
    <row r="69" spans="1:24" x14ac:dyDescent="0.25">
      <c r="A69" s="26">
        <v>46222</v>
      </c>
      <c r="B69" s="26" t="str">
        <f t="shared" si="21"/>
        <v>19</v>
      </c>
      <c r="C69" s="31" t="str">
        <f t="shared" si="22"/>
        <v>julho</v>
      </c>
      <c r="D69" s="13">
        <f t="shared" si="23"/>
        <v>2026</v>
      </c>
      <c r="E69" s="13" t="str">
        <f t="shared" si="24"/>
        <v>dom</v>
      </c>
      <c r="F69" s="13">
        <f t="shared" si="25"/>
        <v>30</v>
      </c>
      <c r="G69" s="13" t="str">
        <f t="shared" si="26"/>
        <v>Final de semana</v>
      </c>
      <c r="H69" s="13" t="s">
        <v>46</v>
      </c>
      <c r="I69" s="13">
        <v>9</v>
      </c>
      <c r="J69" s="13">
        <v>212.5</v>
      </c>
      <c r="K69" s="13">
        <v>6</v>
      </c>
      <c r="L69" s="14">
        <v>349.4</v>
      </c>
      <c r="M69" s="15">
        <f>SUM(Tabela1[[#This Row],[Valor]]-Tabela1[[#This Row],[Combustível]])</f>
        <v>227.82999999999998</v>
      </c>
      <c r="N69" s="15">
        <v>121.57</v>
      </c>
      <c r="O69" s="13">
        <v>34.4</v>
      </c>
      <c r="P69" s="13" t="s">
        <v>47</v>
      </c>
      <c r="Q69" s="15">
        <v>0</v>
      </c>
      <c r="R69" s="15">
        <v>0</v>
      </c>
      <c r="S69" s="15">
        <f>SUM(Tabela1[[#This Row],[Valor]]-Tabela1[[#This Row],[Alimentação]]-Tabela1[[#This Row],[Manutenção]]-Tabela1[[#This Row],[Combustível]])</f>
        <v>227.82999999999998</v>
      </c>
      <c r="T69" s="13">
        <v>9.6</v>
      </c>
      <c r="U69" s="15">
        <f>IFERROR(Tabela1[[#This Row],[Km]]/Tabela1[[#This Row],[Horas]],"")</f>
        <v>35.416666666666664</v>
      </c>
      <c r="V69" s="15">
        <f>IFERROR(Tabela1[[#This Row],[Valor]]/Tabela1[[#This Row],[Km]],"")</f>
        <v>1.644235294117647</v>
      </c>
      <c r="W69" s="16">
        <f>IFERROR(Tabela1[[#This Row],[Valor]]/Tabela1[[#This Row],[Corrida]],"")</f>
        <v>38.822222222222223</v>
      </c>
      <c r="X69" s="23">
        <f>IFERROR(Tabela1[[#This Row],[Km]]/Tabela1[[#This Row],[Corrida]],"")</f>
        <v>23.611111111111111</v>
      </c>
    </row>
    <row r="70" spans="1:24" x14ac:dyDescent="0.25">
      <c r="A70" s="26">
        <v>46222</v>
      </c>
      <c r="B70" s="26" t="str">
        <f t="shared" ref="B70" si="27">IF(A70="","",TEXT(A70,"d"))</f>
        <v>19</v>
      </c>
      <c r="C70" s="31" t="str">
        <f t="shared" ref="C70" si="28">IF(A70="","",TEXT(A70,"mmmm"))</f>
        <v>julho</v>
      </c>
      <c r="D70" s="13">
        <f t="shared" ref="D70" si="29">IF(A70="","",YEAR(A70))</f>
        <v>2026</v>
      </c>
      <c r="E70" s="13" t="str">
        <f t="shared" ref="E70" si="30">IF(A70="","",TEXT(A70,"ddd"))</f>
        <v>dom</v>
      </c>
      <c r="F70" s="13">
        <f t="shared" ref="F70" si="31">IF(A70="","",WEEKNUM(A70))</f>
        <v>30</v>
      </c>
      <c r="G70" s="13" t="str">
        <f t="shared" ref="G70" si="32">IF(A70="","",IF(WEEKDAY(A70,2)&gt;5,"Final de semana","Semana"))</f>
        <v>Final de semana</v>
      </c>
      <c r="H70" s="13">
        <v>99</v>
      </c>
      <c r="I70" s="13">
        <v>4</v>
      </c>
      <c r="J70" s="13">
        <v>94.4</v>
      </c>
      <c r="K70" s="13">
        <v>2</v>
      </c>
      <c r="L70" s="14">
        <v>71.58</v>
      </c>
      <c r="M70" s="15">
        <f>SUM(Tabela1[[#This Row],[Valor]]-Tabela1[[#This Row],[Combustível]])</f>
        <v>71.58</v>
      </c>
      <c r="N70" s="15">
        <v>0</v>
      </c>
      <c r="O70" s="13">
        <v>0</v>
      </c>
      <c r="P70" s="13" t="s">
        <v>47</v>
      </c>
      <c r="Q70" s="15">
        <v>40</v>
      </c>
      <c r="R70" s="15">
        <v>0</v>
      </c>
      <c r="S70" s="15">
        <f>SUM(Tabela1[[#This Row],[Valor]]-Tabela1[[#This Row],[Alimentação]]-Tabela1[[#This Row],[Manutenção]]-Tabela1[[#This Row],[Combustível]])</f>
        <v>31.58</v>
      </c>
      <c r="T70" s="13">
        <v>9.6</v>
      </c>
      <c r="U70" s="15">
        <f>IFERROR(Tabela1[[#This Row],[Km]]/Tabela1[[#This Row],[Horas]],"")</f>
        <v>47.2</v>
      </c>
      <c r="V70" s="15">
        <f>IFERROR(Tabela1[[#This Row],[Valor]]/Tabela1[[#This Row],[Km]],"")</f>
        <v>0.75826271186440675</v>
      </c>
      <c r="W70" s="16">
        <f>IFERROR(Tabela1[[#This Row],[Valor]]/Tabela1[[#This Row],[Corrida]],"")</f>
        <v>17.895</v>
      </c>
      <c r="X70" s="23">
        <f>IFERROR(Tabela1[[#This Row],[Km]]/Tabela1[[#This Row],[Corrida]],"")</f>
        <v>23.6</v>
      </c>
    </row>
  </sheetData>
  <dataValidations count="1">
    <dataValidation allowBlank="1" showInputMessage="1" showErrorMessage="1" sqref="P1:P1048576 H1:N1048576" xr:uid="{00000000-0002-0000-0300-000000000000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Y46"/>
  <sheetViews>
    <sheetView workbookViewId="0"/>
  </sheetViews>
  <sheetFormatPr defaultColWidth="8.5703125" defaultRowHeight="15" x14ac:dyDescent="0.25"/>
  <cols>
    <col min="1" max="1" width="8.5703125" style="4"/>
    <col min="2" max="2" width="13.42578125" style="4" customWidth="1"/>
    <col min="3" max="3" width="10.7109375" style="1" customWidth="1"/>
    <col min="4" max="4" width="7" style="1" customWidth="1"/>
    <col min="5" max="5" width="10.7109375" style="1" customWidth="1"/>
    <col min="6" max="6" width="11.28515625" style="1" customWidth="1"/>
    <col min="7" max="7" width="16.85546875" style="1" customWidth="1"/>
    <col min="8" max="8" width="15" style="1" customWidth="1"/>
    <col min="9" max="9" width="17.28515625" style="1" customWidth="1"/>
    <col min="10" max="10" width="19.42578125" style="1" customWidth="1"/>
    <col min="11" max="11" width="15.28515625" style="1" customWidth="1"/>
    <col min="12" max="12" width="10.85546875" style="1" customWidth="1"/>
    <col min="13" max="13" width="15.42578125" style="9" customWidth="1"/>
    <col min="14" max="14" width="19.85546875" style="9" customWidth="1"/>
    <col min="15" max="15" width="17.140625" style="9" customWidth="1"/>
    <col min="16" max="16" width="16" style="9" customWidth="1"/>
    <col min="17" max="17" width="15.7109375" style="9" customWidth="1"/>
    <col min="18" max="18" width="16.28515625" style="9" customWidth="1"/>
    <col min="19" max="19" width="18.140625" style="9" customWidth="1"/>
    <col min="20" max="20" width="17.140625" style="9" customWidth="1"/>
    <col min="21" max="21" width="17.85546875" style="1" customWidth="1"/>
    <col min="22" max="22" width="17.7109375" style="9" customWidth="1"/>
    <col min="23" max="23" width="19.140625" style="11" customWidth="1"/>
    <col min="24" max="24" width="18.28515625" style="9" customWidth="1"/>
    <col min="25" max="25" width="16.7109375" style="4" customWidth="1"/>
    <col min="26" max="16384" width="8.5703125" style="4"/>
  </cols>
  <sheetData>
    <row r="2" spans="2:25" x14ac:dyDescent="0.25">
      <c r="B2" s="66" t="s">
        <v>18</v>
      </c>
      <c r="C2" s="66"/>
      <c r="D2" s="66"/>
      <c r="E2" s="66"/>
      <c r="F2" s="66"/>
      <c r="G2" s="66"/>
      <c r="H2" s="66"/>
      <c r="I2" s="66"/>
      <c r="J2" s="66"/>
      <c r="K2" s="67" t="s">
        <v>19</v>
      </c>
      <c r="L2" s="67"/>
      <c r="M2" s="68" t="s">
        <v>20</v>
      </c>
      <c r="N2" s="69" t="s">
        <v>21</v>
      </c>
      <c r="O2" s="69"/>
      <c r="P2" s="70" t="s">
        <v>22</v>
      </c>
      <c r="Q2" s="70"/>
      <c r="R2" s="71" t="s">
        <v>23</v>
      </c>
      <c r="S2" s="71"/>
      <c r="T2" s="71"/>
      <c r="U2" s="71"/>
      <c r="V2" s="71"/>
      <c r="W2" s="71"/>
      <c r="X2" s="71"/>
      <c r="Y2" s="65"/>
    </row>
    <row r="3" spans="2:25" x14ac:dyDescent="0.25">
      <c r="B3" s="66"/>
      <c r="C3" s="66"/>
      <c r="D3" s="66"/>
      <c r="E3" s="66"/>
      <c r="F3" s="66"/>
      <c r="G3" s="66"/>
      <c r="H3" s="66"/>
      <c r="I3" s="66"/>
      <c r="J3" s="66"/>
      <c r="K3" s="67"/>
      <c r="L3" s="67"/>
      <c r="M3" s="68"/>
      <c r="N3" s="69"/>
      <c r="O3" s="69"/>
      <c r="P3" s="70"/>
      <c r="Q3" s="70"/>
      <c r="R3" s="71"/>
      <c r="S3" s="71"/>
      <c r="T3" s="71"/>
      <c r="U3" s="71"/>
      <c r="V3" s="71"/>
      <c r="W3" s="71"/>
      <c r="X3" s="71"/>
      <c r="Y3" s="65"/>
    </row>
    <row r="4" spans="2:25" ht="30" x14ac:dyDescent="0.25">
      <c r="B4" s="3" t="s">
        <v>28</v>
      </c>
      <c r="C4" s="5" t="s">
        <v>25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55</v>
      </c>
      <c r="L4" s="5" t="s">
        <v>56</v>
      </c>
      <c r="M4" s="6" t="s">
        <v>57</v>
      </c>
      <c r="N4" s="6" t="s">
        <v>58</v>
      </c>
      <c r="O4" s="6" t="s">
        <v>59</v>
      </c>
      <c r="P4" s="6" t="s">
        <v>20</v>
      </c>
      <c r="Q4" s="6" t="s">
        <v>15</v>
      </c>
      <c r="R4" s="6" t="s">
        <v>60</v>
      </c>
      <c r="S4" s="6" t="s">
        <v>61</v>
      </c>
      <c r="T4" s="6" t="s">
        <v>62</v>
      </c>
      <c r="U4" s="5" t="s">
        <v>63</v>
      </c>
      <c r="V4" s="7" t="s">
        <v>64</v>
      </c>
      <c r="W4" s="10" t="s">
        <v>65</v>
      </c>
      <c r="X4" s="6" t="s">
        <v>66</v>
      </c>
      <c r="Y4" s="3" t="s">
        <v>67</v>
      </c>
    </row>
    <row r="5" spans="2:25" x14ac:dyDescent="0.25">
      <c r="B5" s="8">
        <f>Registro!A2</f>
        <v>46088</v>
      </c>
      <c r="C5" s="1">
        <f>IF(B5="","",DAY(B5))</f>
        <v>7</v>
      </c>
      <c r="D5" s="1" t="str">
        <f>IF(B5="","",TEXT(B5,"mmmm"))</f>
        <v>março</v>
      </c>
      <c r="E5" s="1">
        <f t="shared" ref="E5:E45" si="0">IF(B5="","",YEAR(B5))</f>
        <v>2026</v>
      </c>
      <c r="F5" s="1" t="str">
        <f t="shared" ref="F5:F44" si="1">IF(B5="","",TEXT(B5,"dddd"))</f>
        <v>sábado</v>
      </c>
      <c r="G5" s="1">
        <f t="shared" ref="G5:G44" si="2">IF(B5="","",WEEKNUM(B5))</f>
        <v>10</v>
      </c>
      <c r="H5" s="1" t="str">
        <f t="shared" ref="H5:H46" si="3">IF(B5="","",IF(WEEKDAY(B5,2)&gt;5,"Final de semana","Semana"))</f>
        <v>Final de semana</v>
      </c>
      <c r="I5" s="1">
        <f>COUNTA(_xlfn.UNIQUE(Registro!A2:A538))</f>
        <v>36</v>
      </c>
      <c r="J5" s="1">
        <f>SUM(Registro!K:K)</f>
        <v>277</v>
      </c>
      <c r="K5" s="1">
        <f>SUM(Registro!I:I)</f>
        <v>422</v>
      </c>
      <c r="L5" s="1">
        <f>SUM(Registro!J:J)</f>
        <v>8867.909999999998</v>
      </c>
      <c r="M5" s="9">
        <f>SUM(Registro!L:L)</f>
        <v>11430.83</v>
      </c>
      <c r="N5" s="9">
        <f>SUM(Registro!N:N)</f>
        <v>4685.3399999999992</v>
      </c>
      <c r="O5" s="9">
        <f>SUM(Registro!Q2+Registro!R2)</f>
        <v>0</v>
      </c>
      <c r="P5" s="9">
        <f>SUM(M5-N5)</f>
        <v>6745.4900000000007</v>
      </c>
      <c r="Q5" s="9">
        <f>SUM(P5-O5)</f>
        <v>6745.4900000000007</v>
      </c>
      <c r="R5" s="9">
        <f>SUM(M5/L5)</f>
        <v>1.2890106011450277</v>
      </c>
      <c r="S5" s="9">
        <f>SUM(M5/J5)</f>
        <v>41.26653429602888</v>
      </c>
      <c r="T5" s="9">
        <f>SUM(Q5/J5)</f>
        <v>24.351949458483755</v>
      </c>
      <c r="U5" s="1">
        <f>SUM(K5/J5)</f>
        <v>1.523465703971119</v>
      </c>
      <c r="V5" s="9">
        <f>SUM(M5/K5)</f>
        <v>27.087274881516588</v>
      </c>
      <c r="W5" s="11">
        <f>SUM(L5/K5)</f>
        <v>21.014004739336489</v>
      </c>
      <c r="X5" s="9">
        <f>SUM(M5/I5)</f>
        <v>317.52305555555557</v>
      </c>
      <c r="Y5" s="25">
        <f>SUM(L5/K5)</f>
        <v>21.014004739336489</v>
      </c>
    </row>
    <row r="6" spans="2:25" x14ac:dyDescent="0.25">
      <c r="B6" s="8">
        <f>Registro!A3</f>
        <v>46088</v>
      </c>
      <c r="C6" s="1">
        <f t="shared" ref="C6:C30" si="4">IF(B6="","",DAY(B6))</f>
        <v>7</v>
      </c>
      <c r="D6" s="1" t="str">
        <f t="shared" ref="D6:D30" si="5">IF(B6="","",TEXT(B6,"mmmm"))</f>
        <v>março</v>
      </c>
      <c r="E6" s="1">
        <f t="shared" si="0"/>
        <v>2026</v>
      </c>
      <c r="F6" s="1" t="str">
        <f t="shared" si="1"/>
        <v>sábado</v>
      </c>
      <c r="G6" s="1">
        <f t="shared" si="2"/>
        <v>10</v>
      </c>
      <c r="H6" s="1" t="str">
        <f t="shared" si="3"/>
        <v>Final de semana</v>
      </c>
    </row>
    <row r="7" spans="2:25" x14ac:dyDescent="0.25">
      <c r="B7" s="8">
        <f>Registro!A4</f>
        <v>46093</v>
      </c>
      <c r="C7" s="1">
        <f t="shared" si="4"/>
        <v>12</v>
      </c>
      <c r="D7" s="1" t="str">
        <f t="shared" si="5"/>
        <v>março</v>
      </c>
      <c r="E7" s="1">
        <f t="shared" si="0"/>
        <v>2026</v>
      </c>
      <c r="F7" s="1" t="str">
        <f t="shared" si="1"/>
        <v>quinta-feira</v>
      </c>
      <c r="G7" s="1">
        <f t="shared" si="2"/>
        <v>11</v>
      </c>
      <c r="H7" s="1" t="str">
        <f t="shared" si="3"/>
        <v>Semana</v>
      </c>
    </row>
    <row r="8" spans="2:25" x14ac:dyDescent="0.25">
      <c r="B8" s="8">
        <f>Registro!A5</f>
        <v>46093</v>
      </c>
      <c r="C8" s="1">
        <f t="shared" si="4"/>
        <v>12</v>
      </c>
      <c r="D8" s="1" t="str">
        <f t="shared" si="5"/>
        <v>março</v>
      </c>
      <c r="E8" s="1">
        <f t="shared" si="0"/>
        <v>2026</v>
      </c>
      <c r="F8" s="1" t="str">
        <f t="shared" si="1"/>
        <v>quinta-feira</v>
      </c>
      <c r="G8" s="1">
        <f t="shared" si="2"/>
        <v>11</v>
      </c>
      <c r="H8" s="1" t="str">
        <f t="shared" si="3"/>
        <v>Semana</v>
      </c>
    </row>
    <row r="9" spans="2:25" x14ac:dyDescent="0.25">
      <c r="B9" s="8">
        <f>Registro!A6</f>
        <v>46094</v>
      </c>
      <c r="C9" s="1">
        <f t="shared" si="4"/>
        <v>13</v>
      </c>
      <c r="D9" s="1" t="str">
        <f t="shared" si="5"/>
        <v>março</v>
      </c>
      <c r="E9" s="1">
        <f t="shared" si="0"/>
        <v>2026</v>
      </c>
      <c r="F9" s="1" t="str">
        <f t="shared" si="1"/>
        <v>sexta-feira</v>
      </c>
      <c r="G9" s="1">
        <f t="shared" si="2"/>
        <v>11</v>
      </c>
      <c r="H9" s="1" t="str">
        <f t="shared" si="3"/>
        <v>Semana</v>
      </c>
    </row>
    <row r="10" spans="2:25" x14ac:dyDescent="0.25">
      <c r="B10" s="8">
        <f>Registro!A7</f>
        <v>46094</v>
      </c>
      <c r="C10" s="1">
        <f t="shared" ref="C10:C24" si="6">IF(B10="","",DAY(B10))</f>
        <v>13</v>
      </c>
      <c r="D10" s="1" t="str">
        <f t="shared" ref="D10:D24" si="7">IF(B10="","",TEXT(B10,"mmmm"))</f>
        <v>março</v>
      </c>
      <c r="E10" s="1">
        <f t="shared" si="0"/>
        <v>2026</v>
      </c>
      <c r="F10" s="1" t="str">
        <f t="shared" si="1"/>
        <v>sexta-feira</v>
      </c>
      <c r="G10" s="1">
        <f t="shared" si="2"/>
        <v>11</v>
      </c>
      <c r="H10" s="1" t="str">
        <f t="shared" si="3"/>
        <v>Semana</v>
      </c>
    </row>
    <row r="11" spans="2:25" x14ac:dyDescent="0.25">
      <c r="B11" s="8">
        <f>Registro!A8</f>
        <v>46096</v>
      </c>
      <c r="C11" s="1">
        <f t="shared" si="6"/>
        <v>15</v>
      </c>
      <c r="D11" s="1" t="str">
        <f t="shared" si="7"/>
        <v>março</v>
      </c>
      <c r="E11" s="1">
        <f t="shared" si="0"/>
        <v>2026</v>
      </c>
      <c r="F11" s="1" t="str">
        <f t="shared" si="1"/>
        <v>domingo</v>
      </c>
      <c r="G11" s="1">
        <f t="shared" si="2"/>
        <v>12</v>
      </c>
      <c r="H11" s="1" t="str">
        <f t="shared" si="3"/>
        <v>Final de semana</v>
      </c>
    </row>
    <row r="12" spans="2:25" x14ac:dyDescent="0.25">
      <c r="B12" s="8">
        <f>Registro!A9</f>
        <v>46096</v>
      </c>
      <c r="C12" s="1">
        <f t="shared" si="6"/>
        <v>15</v>
      </c>
      <c r="D12" s="1" t="str">
        <f t="shared" si="7"/>
        <v>março</v>
      </c>
      <c r="E12" s="1">
        <f t="shared" si="0"/>
        <v>2026</v>
      </c>
      <c r="F12" s="1" t="str">
        <f t="shared" si="1"/>
        <v>domingo</v>
      </c>
      <c r="G12" s="1">
        <f t="shared" si="2"/>
        <v>12</v>
      </c>
      <c r="H12" s="1" t="str">
        <f t="shared" si="3"/>
        <v>Final de semana</v>
      </c>
    </row>
    <row r="13" spans="2:25" x14ac:dyDescent="0.25">
      <c r="B13" s="8">
        <f>Registro!A10</f>
        <v>46100</v>
      </c>
      <c r="C13" s="1">
        <f t="shared" si="6"/>
        <v>19</v>
      </c>
      <c r="D13" s="1" t="str">
        <f t="shared" si="7"/>
        <v>março</v>
      </c>
      <c r="E13" s="1">
        <f t="shared" si="0"/>
        <v>2026</v>
      </c>
      <c r="F13" s="1" t="str">
        <f t="shared" si="1"/>
        <v>quinta-feira</v>
      </c>
      <c r="G13" s="1">
        <f t="shared" si="2"/>
        <v>12</v>
      </c>
      <c r="H13" s="1" t="str">
        <f t="shared" si="3"/>
        <v>Semana</v>
      </c>
    </row>
    <row r="14" spans="2:25" x14ac:dyDescent="0.25">
      <c r="B14" s="8">
        <f>Registro!A11</f>
        <v>46100</v>
      </c>
      <c r="C14" s="1">
        <f t="shared" si="6"/>
        <v>19</v>
      </c>
      <c r="D14" s="1" t="str">
        <f t="shared" si="7"/>
        <v>março</v>
      </c>
      <c r="E14" s="1">
        <f t="shared" si="0"/>
        <v>2026</v>
      </c>
      <c r="F14" s="1" t="str">
        <f t="shared" si="1"/>
        <v>quinta-feira</v>
      </c>
      <c r="G14" s="1">
        <f t="shared" si="2"/>
        <v>12</v>
      </c>
      <c r="H14" s="1" t="str">
        <f t="shared" si="3"/>
        <v>Semana</v>
      </c>
    </row>
    <row r="15" spans="2:25" x14ac:dyDescent="0.25">
      <c r="B15" s="8">
        <f>Registro!A12</f>
        <v>46101</v>
      </c>
      <c r="C15" s="1">
        <f t="shared" si="6"/>
        <v>20</v>
      </c>
      <c r="D15" s="1" t="str">
        <f t="shared" si="7"/>
        <v>março</v>
      </c>
      <c r="E15" s="1">
        <f t="shared" si="0"/>
        <v>2026</v>
      </c>
      <c r="F15" s="1" t="str">
        <f t="shared" si="1"/>
        <v>sexta-feira</v>
      </c>
      <c r="G15" s="1">
        <f t="shared" si="2"/>
        <v>12</v>
      </c>
      <c r="H15" s="1" t="str">
        <f t="shared" si="3"/>
        <v>Semana</v>
      </c>
    </row>
    <row r="16" spans="2:25" x14ac:dyDescent="0.25">
      <c r="B16" s="8">
        <f>Registro!A13</f>
        <v>46101</v>
      </c>
      <c r="C16" s="1">
        <f t="shared" si="6"/>
        <v>20</v>
      </c>
      <c r="D16" s="1" t="str">
        <f t="shared" si="7"/>
        <v>março</v>
      </c>
      <c r="E16" s="1">
        <f t="shared" si="0"/>
        <v>2026</v>
      </c>
      <c r="F16" s="1" t="str">
        <f t="shared" si="1"/>
        <v>sexta-feira</v>
      </c>
      <c r="G16" s="1">
        <f t="shared" si="2"/>
        <v>12</v>
      </c>
      <c r="H16" s="1" t="str">
        <f t="shared" si="3"/>
        <v>Semana</v>
      </c>
    </row>
    <row r="17" spans="2:8" x14ac:dyDescent="0.25">
      <c r="B17" s="8">
        <f>Registro!A14</f>
        <v>46103</v>
      </c>
      <c r="C17" s="1">
        <f t="shared" si="6"/>
        <v>22</v>
      </c>
      <c r="D17" s="1" t="str">
        <f t="shared" si="7"/>
        <v>março</v>
      </c>
      <c r="E17" s="1">
        <f t="shared" si="0"/>
        <v>2026</v>
      </c>
      <c r="F17" s="1" t="str">
        <f t="shared" si="1"/>
        <v>domingo</v>
      </c>
      <c r="G17" s="1">
        <f t="shared" si="2"/>
        <v>13</v>
      </c>
      <c r="H17" s="1" t="str">
        <f t="shared" si="3"/>
        <v>Final de semana</v>
      </c>
    </row>
    <row r="18" spans="2:8" x14ac:dyDescent="0.25">
      <c r="B18" s="8">
        <f>Registro!A15</f>
        <v>46103</v>
      </c>
      <c r="C18" s="1">
        <f t="shared" si="6"/>
        <v>22</v>
      </c>
      <c r="D18" s="1" t="str">
        <f t="shared" si="7"/>
        <v>março</v>
      </c>
      <c r="E18" s="1">
        <f t="shared" si="0"/>
        <v>2026</v>
      </c>
      <c r="F18" s="1" t="str">
        <f t="shared" si="1"/>
        <v>domingo</v>
      </c>
      <c r="G18" s="1">
        <f t="shared" si="2"/>
        <v>13</v>
      </c>
      <c r="H18" s="1" t="str">
        <f t="shared" si="3"/>
        <v>Final de semana</v>
      </c>
    </row>
    <row r="19" spans="2:8" x14ac:dyDescent="0.25">
      <c r="B19" s="8">
        <f>Registro!A16</f>
        <v>46107</v>
      </c>
      <c r="C19" s="1">
        <f t="shared" si="6"/>
        <v>26</v>
      </c>
      <c r="D19" s="1" t="str">
        <f t="shared" si="7"/>
        <v>março</v>
      </c>
      <c r="E19" s="1">
        <f t="shared" si="0"/>
        <v>2026</v>
      </c>
      <c r="F19" s="1" t="str">
        <f t="shared" si="1"/>
        <v>quinta-feira</v>
      </c>
      <c r="G19" s="1">
        <f t="shared" si="2"/>
        <v>13</v>
      </c>
      <c r="H19" s="1" t="str">
        <f t="shared" si="3"/>
        <v>Semana</v>
      </c>
    </row>
    <row r="20" spans="2:8" x14ac:dyDescent="0.25">
      <c r="B20" s="8">
        <f>Registro!A17</f>
        <v>46107</v>
      </c>
      <c r="C20" s="1">
        <f t="shared" si="6"/>
        <v>26</v>
      </c>
      <c r="D20" s="1" t="str">
        <f t="shared" si="7"/>
        <v>março</v>
      </c>
      <c r="E20" s="1">
        <f t="shared" si="0"/>
        <v>2026</v>
      </c>
      <c r="F20" s="1" t="str">
        <f t="shared" si="1"/>
        <v>quinta-feira</v>
      </c>
      <c r="G20" s="1">
        <f t="shared" si="2"/>
        <v>13</v>
      </c>
      <c r="H20" s="1" t="str">
        <f t="shared" si="3"/>
        <v>Semana</v>
      </c>
    </row>
    <row r="21" spans="2:8" x14ac:dyDescent="0.25">
      <c r="B21" s="8">
        <f>Registro!A18</f>
        <v>46109</v>
      </c>
      <c r="C21" s="1">
        <f t="shared" si="6"/>
        <v>28</v>
      </c>
      <c r="D21" s="1" t="str">
        <f t="shared" si="7"/>
        <v>março</v>
      </c>
      <c r="E21" s="1">
        <f t="shared" si="0"/>
        <v>2026</v>
      </c>
      <c r="F21" s="1" t="str">
        <f t="shared" si="1"/>
        <v>sábado</v>
      </c>
      <c r="G21" s="1">
        <f t="shared" si="2"/>
        <v>13</v>
      </c>
      <c r="H21" s="1" t="str">
        <f t="shared" si="3"/>
        <v>Final de semana</v>
      </c>
    </row>
    <row r="22" spans="2:8" x14ac:dyDescent="0.25">
      <c r="B22" s="8">
        <f>Registro!A19</f>
        <v>46109</v>
      </c>
      <c r="C22" s="1">
        <f t="shared" si="6"/>
        <v>28</v>
      </c>
      <c r="D22" s="1" t="str">
        <f t="shared" si="7"/>
        <v>março</v>
      </c>
      <c r="E22" s="1">
        <f t="shared" si="0"/>
        <v>2026</v>
      </c>
      <c r="F22" s="1" t="str">
        <f t="shared" si="1"/>
        <v>sábado</v>
      </c>
      <c r="G22" s="1">
        <f t="shared" si="2"/>
        <v>13</v>
      </c>
      <c r="H22" s="1" t="str">
        <f t="shared" si="3"/>
        <v>Final de semana</v>
      </c>
    </row>
    <row r="23" spans="2:8" x14ac:dyDescent="0.25">
      <c r="B23" s="8">
        <f>Registro!A20</f>
        <v>46110</v>
      </c>
      <c r="C23" s="1">
        <f t="shared" si="6"/>
        <v>29</v>
      </c>
      <c r="D23" s="1" t="str">
        <f t="shared" si="7"/>
        <v>março</v>
      </c>
      <c r="E23" s="1">
        <f t="shared" si="0"/>
        <v>2026</v>
      </c>
      <c r="F23" s="1" t="str">
        <f t="shared" si="1"/>
        <v>domingo</v>
      </c>
      <c r="G23" s="1">
        <f t="shared" si="2"/>
        <v>14</v>
      </c>
      <c r="H23" s="1" t="str">
        <f t="shared" si="3"/>
        <v>Final de semana</v>
      </c>
    </row>
    <row r="24" spans="2:8" x14ac:dyDescent="0.25">
      <c r="B24" s="8">
        <f>Registro!A21</f>
        <v>46110</v>
      </c>
      <c r="C24" s="1">
        <f t="shared" si="6"/>
        <v>29</v>
      </c>
      <c r="D24" s="1" t="str">
        <f t="shared" si="7"/>
        <v>março</v>
      </c>
      <c r="E24" s="1">
        <f t="shared" si="0"/>
        <v>2026</v>
      </c>
      <c r="F24" s="1" t="str">
        <f t="shared" si="1"/>
        <v>domingo</v>
      </c>
      <c r="G24" s="1">
        <f t="shared" si="2"/>
        <v>14</v>
      </c>
      <c r="H24" s="1" t="str">
        <f t="shared" si="3"/>
        <v>Final de semana</v>
      </c>
    </row>
    <row r="25" spans="2:8" x14ac:dyDescent="0.25">
      <c r="B25" s="8">
        <f>Registro!A22</f>
        <v>46128</v>
      </c>
      <c r="C25" s="1">
        <f t="shared" si="4"/>
        <v>16</v>
      </c>
      <c r="D25" s="1" t="str">
        <f t="shared" si="5"/>
        <v>abril</v>
      </c>
      <c r="E25" s="1">
        <f t="shared" si="0"/>
        <v>2026</v>
      </c>
      <c r="F25" s="1" t="str">
        <f t="shared" si="1"/>
        <v>quinta-feira</v>
      </c>
      <c r="G25" s="1">
        <f t="shared" si="2"/>
        <v>16</v>
      </c>
      <c r="H25" s="1" t="str">
        <f t="shared" si="3"/>
        <v>Semana</v>
      </c>
    </row>
    <row r="26" spans="2:8" x14ac:dyDescent="0.25">
      <c r="B26" s="8">
        <f>Registro!A23</f>
        <v>46128</v>
      </c>
      <c r="C26" s="1">
        <f t="shared" si="4"/>
        <v>16</v>
      </c>
      <c r="D26" s="1" t="str">
        <f t="shared" si="5"/>
        <v>abril</v>
      </c>
      <c r="E26" s="1">
        <f t="shared" si="0"/>
        <v>2026</v>
      </c>
      <c r="F26" s="1" t="str">
        <f t="shared" si="1"/>
        <v>quinta-feira</v>
      </c>
      <c r="G26" s="1">
        <f t="shared" si="2"/>
        <v>16</v>
      </c>
      <c r="H26" s="1" t="str">
        <f t="shared" si="3"/>
        <v>Semana</v>
      </c>
    </row>
    <row r="27" spans="2:8" x14ac:dyDescent="0.25">
      <c r="B27" s="8">
        <f>Registro!A24</f>
        <v>46129</v>
      </c>
      <c r="C27" s="1">
        <f t="shared" si="4"/>
        <v>17</v>
      </c>
      <c r="D27" s="1" t="str">
        <f t="shared" si="5"/>
        <v>abril</v>
      </c>
      <c r="E27" s="1">
        <f t="shared" si="0"/>
        <v>2026</v>
      </c>
      <c r="F27" s="1" t="str">
        <f t="shared" si="1"/>
        <v>sexta-feira</v>
      </c>
      <c r="G27" s="1">
        <f t="shared" si="2"/>
        <v>16</v>
      </c>
      <c r="H27" s="1" t="str">
        <f t="shared" si="3"/>
        <v>Semana</v>
      </c>
    </row>
    <row r="28" spans="2:8" x14ac:dyDescent="0.25">
      <c r="B28" s="8">
        <f>Registro!A25</f>
        <v>46129</v>
      </c>
      <c r="C28" s="1">
        <f t="shared" si="4"/>
        <v>17</v>
      </c>
      <c r="D28" s="1" t="str">
        <f t="shared" si="5"/>
        <v>abril</v>
      </c>
      <c r="E28" s="1">
        <f t="shared" si="0"/>
        <v>2026</v>
      </c>
      <c r="F28" s="1" t="str">
        <f t="shared" si="1"/>
        <v>sexta-feira</v>
      </c>
      <c r="G28" s="1">
        <f t="shared" si="2"/>
        <v>16</v>
      </c>
      <c r="H28" s="1" t="str">
        <f t="shared" si="3"/>
        <v>Semana</v>
      </c>
    </row>
    <row r="29" spans="2:8" x14ac:dyDescent="0.25">
      <c r="B29" s="8">
        <f>Registro!A26</f>
        <v>46130</v>
      </c>
      <c r="C29" s="1">
        <f t="shared" si="4"/>
        <v>18</v>
      </c>
      <c r="D29" s="1" t="str">
        <f t="shared" si="5"/>
        <v>abril</v>
      </c>
      <c r="E29" s="1">
        <f t="shared" si="0"/>
        <v>2026</v>
      </c>
      <c r="F29" s="1" t="str">
        <f t="shared" si="1"/>
        <v>sábado</v>
      </c>
      <c r="G29" s="1">
        <f t="shared" si="2"/>
        <v>16</v>
      </c>
      <c r="H29" s="1" t="str">
        <f t="shared" si="3"/>
        <v>Final de semana</v>
      </c>
    </row>
    <row r="30" spans="2:8" x14ac:dyDescent="0.25">
      <c r="B30" s="8">
        <f>Registro!A27</f>
        <v>46130</v>
      </c>
      <c r="C30" s="1">
        <f t="shared" si="4"/>
        <v>18</v>
      </c>
      <c r="D30" s="1" t="str">
        <f t="shared" si="5"/>
        <v>abril</v>
      </c>
      <c r="E30" s="1">
        <f t="shared" si="0"/>
        <v>2026</v>
      </c>
      <c r="F30" s="1" t="str">
        <f t="shared" si="1"/>
        <v>sábado</v>
      </c>
      <c r="G30" s="1">
        <f t="shared" si="2"/>
        <v>16</v>
      </c>
      <c r="H30" s="1" t="str">
        <f t="shared" si="3"/>
        <v>Final de semana</v>
      </c>
    </row>
    <row r="31" spans="2:8" x14ac:dyDescent="0.25">
      <c r="B31" s="8"/>
    </row>
    <row r="32" spans="2:8" x14ac:dyDescent="0.25">
      <c r="B32" s="8"/>
    </row>
    <row r="33" spans="2:8" x14ac:dyDescent="0.25">
      <c r="B33" s="8"/>
    </row>
    <row r="34" spans="2:8" x14ac:dyDescent="0.25">
      <c r="B34" s="8"/>
    </row>
    <row r="35" spans="2:8" x14ac:dyDescent="0.25">
      <c r="B35" s="8"/>
    </row>
    <row r="36" spans="2:8" x14ac:dyDescent="0.25">
      <c r="B36" s="8"/>
    </row>
    <row r="43" spans="2:8" x14ac:dyDescent="0.25">
      <c r="E43" s="1" t="str">
        <f t="shared" si="0"/>
        <v/>
      </c>
      <c r="F43" s="1" t="str">
        <f t="shared" si="1"/>
        <v/>
      </c>
      <c r="G43" s="1" t="str">
        <f t="shared" si="2"/>
        <v/>
      </c>
      <c r="H43" s="1" t="str">
        <f t="shared" si="3"/>
        <v/>
      </c>
    </row>
    <row r="44" spans="2:8" x14ac:dyDescent="0.25">
      <c r="E44" s="1" t="str">
        <f t="shared" si="0"/>
        <v/>
      </c>
      <c r="F44" s="1" t="str">
        <f t="shared" si="1"/>
        <v/>
      </c>
      <c r="G44" s="1" t="str">
        <f t="shared" si="2"/>
        <v/>
      </c>
      <c r="H44" s="1" t="str">
        <f t="shared" si="3"/>
        <v/>
      </c>
    </row>
    <row r="45" spans="2:8" x14ac:dyDescent="0.25">
      <c r="E45" s="1" t="str">
        <f t="shared" si="0"/>
        <v/>
      </c>
      <c r="H45" s="1" t="str">
        <f t="shared" si="3"/>
        <v/>
      </c>
    </row>
    <row r="46" spans="2:8" x14ac:dyDescent="0.25">
      <c r="H46" s="1" t="str">
        <f t="shared" si="3"/>
        <v/>
      </c>
    </row>
  </sheetData>
  <mergeCells count="7">
    <mergeCell ref="Y2:Y3"/>
    <mergeCell ref="B2:J3"/>
    <mergeCell ref="K2:L3"/>
    <mergeCell ref="M2:M3"/>
    <mergeCell ref="N2:O3"/>
    <mergeCell ref="P2:Q3"/>
    <mergeCell ref="R2:X3"/>
  </mergeCells>
  <dataValidations count="1">
    <dataValidation allowBlank="1" showInputMessage="1" showErrorMessage="1" sqref="K2 M2:N2" xr:uid="{00000000-0002-0000-0400-000000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Dashbord</vt:lpstr>
      <vt:lpstr>Tabela Dinamica</vt:lpstr>
      <vt:lpstr>Registro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Gomes</dc:creator>
  <cp:lastModifiedBy>Marcelo Gomes</cp:lastModifiedBy>
  <dcterms:created xsi:type="dcterms:W3CDTF">2026-05-25T02:31:14Z</dcterms:created>
  <dcterms:modified xsi:type="dcterms:W3CDTF">2026-07-20T13:42:05Z</dcterms:modified>
</cp:coreProperties>
</file>